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24226"/>
  <mc:AlternateContent xmlns:mc="http://schemas.openxmlformats.org/markup-compatibility/2006">
    <mc:Choice Requires="x15">
      <x15ac:absPath xmlns:x15ac="http://schemas.microsoft.com/office/spreadsheetml/2010/11/ac" url="https://d.docs.live.net/5593e1fb9b63ac93/Documents/GitHub/Macro_dashboard_Call_Centre_Ops/"/>
    </mc:Choice>
  </mc:AlternateContent>
  <xr:revisionPtr revIDLastSave="2" documentId="8_{EBA03B46-CBA0-4388-961D-64F2331BA7DA}" xr6:coauthVersionLast="47" xr6:coauthVersionMax="47" xr10:uidLastSave="{A994AB70-D665-4703-AD77-3865ED7608BE}"/>
  <bookViews>
    <workbookView xWindow="-120" yWindow="-120" windowWidth="20730" windowHeight="11160" activeTab="3" xr2:uid="{00000000-000D-0000-FFFF-FFFF00000000}"/>
  </bookViews>
  <sheets>
    <sheet name="Raw Data" sheetId="1" r:id="rId1"/>
    <sheet name="Agent mailing list" sheetId="4" r:id="rId2"/>
    <sheet name="Agent Performance" sheetId="3" r:id="rId3"/>
    <sheet name="Data_Mailer" sheetId="5" r:id="rId4"/>
  </sheets>
  <definedNames>
    <definedName name="_xlnm._FilterDatabase" localSheetId="0" hidden="1">'Raw Data'!$A$1:$J$106</definedName>
    <definedName name="NativeTimeline_Date">#N/A</definedName>
    <definedName name="Slicer_Month_Name">#N/A</definedName>
    <definedName name="Slicer_Quarter">#N/A</definedName>
    <definedName name="Slicer_Region">#N/A</definedName>
    <definedName name="Slicer_Shift">#N/A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B2B321-4218-43D0-9717-10A4DC3955B5}" keepAlive="1" name="Query - Agent_Performance" description="Connection to the 'Agent_Performance' query in the workbook." type="5" refreshedVersion="8" background="1">
    <dbPr connection="Provider=Microsoft.Mashup.OleDb.1;Data Source=$Workbook$;Location=Agent_Performance;Extended Properties=&quot;&quot;" command="SELECT * FROM [Agent_Performance]"/>
  </connection>
  <connection id="2" xr16:uid="{64D1C662-4D80-4F0C-B002-BBF1098699F6}" keepAlive="1" name="Query - Raw_data_Master" description="Connection to the 'Raw_data_Master' query in the workbook." type="5" refreshedVersion="0" background="1">
    <dbPr connection="Provider=Microsoft.Mashup.OleDb.1;Data Source=$Workbook$;Location=Raw_data_Master;Extended Properties=&quot;&quot;" command="SELECT * FROM [Raw_data_Master]"/>
  </connection>
</connections>
</file>

<file path=xl/sharedStrings.xml><?xml version="1.0" encoding="utf-8"?>
<sst xmlns="http://schemas.openxmlformats.org/spreadsheetml/2006/main" count="1452" uniqueCount="302">
  <si>
    <t>Agent ID</t>
  </si>
  <si>
    <t>Agent Name</t>
  </si>
  <si>
    <t>Region</t>
  </si>
  <si>
    <t>Shift</t>
  </si>
  <si>
    <t>Date</t>
  </si>
  <si>
    <t>Calls Handled</t>
  </si>
  <si>
    <t>Avg Call Duration (min)</t>
  </si>
  <si>
    <t>Customer Satisfaction (%)</t>
  </si>
  <si>
    <t>Sales Made</t>
  </si>
  <si>
    <t>Escalations</t>
  </si>
  <si>
    <t>AID001</t>
  </si>
  <si>
    <t>AID002</t>
  </si>
  <si>
    <t>AID003</t>
  </si>
  <si>
    <t>AID004</t>
  </si>
  <si>
    <t>AID005</t>
  </si>
  <si>
    <t>AID006</t>
  </si>
  <si>
    <t>AID007</t>
  </si>
  <si>
    <t>AID008</t>
  </si>
  <si>
    <t>AID009</t>
  </si>
  <si>
    <t>AID010</t>
  </si>
  <si>
    <t>AID011</t>
  </si>
  <si>
    <t>AID012</t>
  </si>
  <si>
    <t>AID013</t>
  </si>
  <si>
    <t>AID014</t>
  </si>
  <si>
    <t>AID015</t>
  </si>
  <si>
    <t>AID016</t>
  </si>
  <si>
    <t>AID017</t>
  </si>
  <si>
    <t>AID018</t>
  </si>
  <si>
    <t>AID019</t>
  </si>
  <si>
    <t>AID020</t>
  </si>
  <si>
    <t>AID021</t>
  </si>
  <si>
    <t>AID022</t>
  </si>
  <si>
    <t>AID023</t>
  </si>
  <si>
    <t>AID024</t>
  </si>
  <si>
    <t>AID025</t>
  </si>
  <si>
    <t>AID026</t>
  </si>
  <si>
    <t>AID027</t>
  </si>
  <si>
    <t>AID028</t>
  </si>
  <si>
    <t>AID029</t>
  </si>
  <si>
    <t>AID030</t>
  </si>
  <si>
    <t>AID031</t>
  </si>
  <si>
    <t>AID032</t>
  </si>
  <si>
    <t>AID033</t>
  </si>
  <si>
    <t>AID034</t>
  </si>
  <si>
    <t>AID035</t>
  </si>
  <si>
    <t>AID036</t>
  </si>
  <si>
    <t>AID037</t>
  </si>
  <si>
    <t>AID038</t>
  </si>
  <si>
    <t>AID039</t>
  </si>
  <si>
    <t>AID040</t>
  </si>
  <si>
    <t>AID041</t>
  </si>
  <si>
    <t>AID042</t>
  </si>
  <si>
    <t>AID043</t>
  </si>
  <si>
    <t>AID044</t>
  </si>
  <si>
    <t>AID045</t>
  </si>
  <si>
    <t>AID046</t>
  </si>
  <si>
    <t>AID047</t>
  </si>
  <si>
    <t>AID048</t>
  </si>
  <si>
    <t>AID049</t>
  </si>
  <si>
    <t>AID050</t>
  </si>
  <si>
    <t>AID051</t>
  </si>
  <si>
    <t>AID052</t>
  </si>
  <si>
    <t>AID053</t>
  </si>
  <si>
    <t>AID054</t>
  </si>
  <si>
    <t>AID055</t>
  </si>
  <si>
    <t>AID056</t>
  </si>
  <si>
    <t>AID057</t>
  </si>
  <si>
    <t>AID058</t>
  </si>
  <si>
    <t>AID059</t>
  </si>
  <si>
    <t>AID060</t>
  </si>
  <si>
    <t>AID061</t>
  </si>
  <si>
    <t>AID062</t>
  </si>
  <si>
    <t>AID063</t>
  </si>
  <si>
    <t>AID064</t>
  </si>
  <si>
    <t>AID065</t>
  </si>
  <si>
    <t>AID066</t>
  </si>
  <si>
    <t>AID067</t>
  </si>
  <si>
    <t>AID068</t>
  </si>
  <si>
    <t>AID069</t>
  </si>
  <si>
    <t>AID070</t>
  </si>
  <si>
    <t>AID071</t>
  </si>
  <si>
    <t>AID072</t>
  </si>
  <si>
    <t>AID073</t>
  </si>
  <si>
    <t>AID074</t>
  </si>
  <si>
    <t>AID075</t>
  </si>
  <si>
    <t>AID076</t>
  </si>
  <si>
    <t>AID077</t>
  </si>
  <si>
    <t>AID078</t>
  </si>
  <si>
    <t>AID079</t>
  </si>
  <si>
    <t>AID080</t>
  </si>
  <si>
    <t>AID081</t>
  </si>
  <si>
    <t>AID082</t>
  </si>
  <si>
    <t>AID083</t>
  </si>
  <si>
    <t>AID084</t>
  </si>
  <si>
    <t>AID085</t>
  </si>
  <si>
    <t>AID086</t>
  </si>
  <si>
    <t>AID087</t>
  </si>
  <si>
    <t>AID088</t>
  </si>
  <si>
    <t>AID089</t>
  </si>
  <si>
    <t>AID090</t>
  </si>
  <si>
    <t>AID091</t>
  </si>
  <si>
    <t>AID092</t>
  </si>
  <si>
    <t>AID093</t>
  </si>
  <si>
    <t>AID094</t>
  </si>
  <si>
    <t>AID095</t>
  </si>
  <si>
    <t>AID096</t>
  </si>
  <si>
    <t>AID097</t>
  </si>
  <si>
    <t>AID098</t>
  </si>
  <si>
    <t>AID099</t>
  </si>
  <si>
    <t>AID100</t>
  </si>
  <si>
    <t>East</t>
  </si>
  <si>
    <t>North</t>
  </si>
  <si>
    <t>South</t>
  </si>
  <si>
    <t xml:space="preserve"> north </t>
  </si>
  <si>
    <t>West</t>
  </si>
  <si>
    <t>Morning</t>
  </si>
  <si>
    <t>Afternoon</t>
  </si>
  <si>
    <t>Evening</t>
  </si>
  <si>
    <t>Night</t>
  </si>
  <si>
    <t>2024-01-01</t>
  </si>
  <si>
    <t>2024-01-02</t>
  </si>
  <si>
    <t>2024-01-03</t>
  </si>
  <si>
    <t>2024-01-04</t>
  </si>
  <si>
    <t>2024-01-05</t>
  </si>
  <si>
    <t>2024-01-06</t>
  </si>
  <si>
    <t>2024-01-07</t>
  </si>
  <si>
    <t>2024-01-08</t>
  </si>
  <si>
    <t>2024-01-09</t>
  </si>
  <si>
    <t>2024-01-10</t>
  </si>
  <si>
    <t>2024-01-11</t>
  </si>
  <si>
    <t>2024-01-12</t>
  </si>
  <si>
    <t>2024-01-13</t>
  </si>
  <si>
    <t>2024-01-14</t>
  </si>
  <si>
    <t>2024-01-15</t>
  </si>
  <si>
    <t>2024-01-16</t>
  </si>
  <si>
    <t>2024-01-17</t>
  </si>
  <si>
    <t>2024-01-18</t>
  </si>
  <si>
    <t>2024-01-19</t>
  </si>
  <si>
    <t>2024-01-20</t>
  </si>
  <si>
    <t>2024-01-21</t>
  </si>
  <si>
    <t>2024-01-22</t>
  </si>
  <si>
    <t>2024-01-23</t>
  </si>
  <si>
    <t>2024-01-24</t>
  </si>
  <si>
    <t>2024-01-25</t>
  </si>
  <si>
    <t>2024-01-26</t>
  </si>
  <si>
    <t>2024-01-27</t>
  </si>
  <si>
    <t>2024-01-28</t>
  </si>
  <si>
    <t>2024-01-29</t>
  </si>
  <si>
    <t>2024-01-30</t>
  </si>
  <si>
    <t>2024-01-31</t>
  </si>
  <si>
    <t>2024-02-01</t>
  </si>
  <si>
    <t>2024-02-02</t>
  </si>
  <si>
    <t>2024-02-03</t>
  </si>
  <si>
    <t>2024-02-04</t>
  </si>
  <si>
    <t>2024-02-05</t>
  </si>
  <si>
    <t>2024-02-06</t>
  </si>
  <si>
    <t>2024-02-07</t>
  </si>
  <si>
    <t>2024-02-08</t>
  </si>
  <si>
    <t>2024-02-09</t>
  </si>
  <si>
    <t>2024-02-10</t>
  </si>
  <si>
    <t>2024-02-11</t>
  </si>
  <si>
    <t>2024-02-12</t>
  </si>
  <si>
    <t>2024-02-13</t>
  </si>
  <si>
    <t>2024-02-14</t>
  </si>
  <si>
    <t>2024-02-15</t>
  </si>
  <si>
    <t>2024-02-16</t>
  </si>
  <si>
    <t>2024-02-17</t>
  </si>
  <si>
    <t>2024-02-18</t>
  </si>
  <si>
    <t>2024-02-19</t>
  </si>
  <si>
    <t>2024-02-20</t>
  </si>
  <si>
    <t>2024-02-21</t>
  </si>
  <si>
    <t>2024-02-22</t>
  </si>
  <si>
    <t>2024-02-23</t>
  </si>
  <si>
    <t>2024-02-24</t>
  </si>
  <si>
    <t>2024-02-25</t>
  </si>
  <si>
    <t>2024-02-26</t>
  </si>
  <si>
    <t>2024-02-27</t>
  </si>
  <si>
    <t>2024-02-28</t>
  </si>
  <si>
    <t>2024-02-29</t>
  </si>
  <si>
    <t>2024-03-01</t>
  </si>
  <si>
    <t>2024-03-02</t>
  </si>
  <si>
    <t>2024-03-03</t>
  </si>
  <si>
    <t>2024-03-04</t>
  </si>
  <si>
    <t>2024-03-05</t>
  </si>
  <si>
    <t>2024-03-06</t>
  </si>
  <si>
    <t>2024-03-07</t>
  </si>
  <si>
    <t>2024-03-08</t>
  </si>
  <si>
    <t>2024-03-09</t>
  </si>
  <si>
    <t>2024-03-10</t>
  </si>
  <si>
    <t>2024-03-11</t>
  </si>
  <si>
    <t>2024-03-12</t>
  </si>
  <si>
    <t>2024-03-13</t>
  </si>
  <si>
    <t>2024-03-14</t>
  </si>
  <si>
    <t>2024-03-15</t>
  </si>
  <si>
    <t>2024-03-16</t>
  </si>
  <si>
    <t>2024-03-17</t>
  </si>
  <si>
    <t>2024-03-18</t>
  </si>
  <si>
    <t>2024-03-19</t>
  </si>
  <si>
    <t>2024-03-20</t>
  </si>
  <si>
    <t>2024-03-21</t>
  </si>
  <si>
    <t>2024-03-22</t>
  </si>
  <si>
    <t>2024-03-23</t>
  </si>
  <si>
    <t>2024-03-24</t>
  </si>
  <si>
    <t>2024-03-25</t>
  </si>
  <si>
    <t>2024-03-26</t>
  </si>
  <si>
    <t>2024-03-27</t>
  </si>
  <si>
    <t>2024-03-28</t>
  </si>
  <si>
    <t>2024-03-29</t>
  </si>
  <si>
    <t>2024-03-30</t>
  </si>
  <si>
    <t>2024-03-31</t>
  </si>
  <si>
    <t>2024-04-01</t>
  </si>
  <si>
    <t>2024-04-02</t>
  </si>
  <si>
    <t>2024-04-03</t>
  </si>
  <si>
    <t>2024-04-04</t>
  </si>
  <si>
    <t>2024-04-05</t>
  </si>
  <si>
    <t>2024-04-06</t>
  </si>
  <si>
    <t>2024-04-07</t>
  </si>
  <si>
    <t>2024-04-08</t>
  </si>
  <si>
    <t>2024-04-09</t>
  </si>
  <si>
    <t>Edward Doe</t>
  </si>
  <si>
    <t>John Doe</t>
  </si>
  <si>
    <t>Miriam Kalami</t>
  </si>
  <si>
    <t>Rohit Choudhry</t>
  </si>
  <si>
    <t>Faisal Khan</t>
  </si>
  <si>
    <t>J. P. Morgan</t>
  </si>
  <si>
    <t>Swati Thakur</t>
  </si>
  <si>
    <t>Kalki Gudimalla</t>
  </si>
  <si>
    <t>Varun Dhawan</t>
  </si>
  <si>
    <t>Amitabh Kant</t>
  </si>
  <si>
    <t>Mukesh Ambani</t>
  </si>
  <si>
    <t>Kanti Majumdar</t>
  </si>
  <si>
    <t>Ol Hagson</t>
  </si>
  <si>
    <t>Venkat Ganesan</t>
  </si>
  <si>
    <t>Venkat Naidu</t>
  </si>
  <si>
    <t>Gouri Srivastav</t>
  </si>
  <si>
    <t>Mahinder Panni</t>
  </si>
  <si>
    <t>Sukhwinder Singh</t>
  </si>
  <si>
    <t>Mary Warden</t>
  </si>
  <si>
    <t>Amanda Langchuk</t>
  </si>
  <si>
    <t>Mary Chungtham</t>
  </si>
  <si>
    <t>Adam Viles</t>
  </si>
  <si>
    <t xml:space="preserve">Rakesh John </t>
  </si>
  <si>
    <t>John Bhakthapaul</t>
  </si>
  <si>
    <t>Rishi Sunak</t>
  </si>
  <si>
    <t>Rakesh Venkatapuram</t>
  </si>
  <si>
    <t>Mukesh Bhatt</t>
  </si>
  <si>
    <t>Rani Gupta</t>
  </si>
  <si>
    <t>Steven D'Souza</t>
  </si>
  <si>
    <t>Gagan Choudhry</t>
  </si>
  <si>
    <t>Grand Total</t>
  </si>
  <si>
    <t>Sum of CSAT %</t>
  </si>
  <si>
    <t>Sum of Sales Count</t>
  </si>
  <si>
    <t>Sum of Escalation Count</t>
  </si>
  <si>
    <t>Sum of Calls Handled</t>
  </si>
  <si>
    <t>Average of Calls Handled</t>
  </si>
  <si>
    <t>Average of Sales Count</t>
  </si>
  <si>
    <t>Sum of Avg. Call Duration (min.)</t>
  </si>
  <si>
    <t>EAST</t>
  </si>
  <si>
    <t>SOUTH</t>
  </si>
  <si>
    <t>Agent</t>
  </si>
  <si>
    <t>Email</t>
  </si>
  <si>
    <t xml:space="preserve"> edward.doe@company.com</t>
  </si>
  <si>
    <t xml:space="preserve"> john.doe@company.com</t>
  </si>
  <si>
    <t xml:space="preserve"> miriam.kalami@company.com</t>
  </si>
  <si>
    <t xml:space="preserve"> rohit.choudhry@company.com</t>
  </si>
  <si>
    <t xml:space="preserve"> gagan.choudhry@company.com</t>
  </si>
  <si>
    <t xml:space="preserve"> faisal.khan@company.com</t>
  </si>
  <si>
    <t xml:space="preserve"> j..p..morgan@company.com</t>
  </si>
  <si>
    <t xml:space="preserve"> swati.thakur@company.com</t>
  </si>
  <si>
    <t xml:space="preserve"> kalki.gudimalla@company.com</t>
  </si>
  <si>
    <t xml:space="preserve"> varun.dhawan@company.com</t>
  </si>
  <si>
    <t xml:space="preserve"> amitabh.kant@company.com</t>
  </si>
  <si>
    <t xml:space="preserve"> mukesh.ambani@company.com</t>
  </si>
  <si>
    <t xml:space="preserve"> kanti.majumdar@company.com</t>
  </si>
  <si>
    <t xml:space="preserve"> ol.hagson@company.com</t>
  </si>
  <si>
    <t xml:space="preserve"> venkat.ganesan@company.com</t>
  </si>
  <si>
    <t xml:space="preserve"> venkat.naidu@company.com</t>
  </si>
  <si>
    <t xml:space="preserve"> gouri.srivastav@company.com</t>
  </si>
  <si>
    <t xml:space="preserve"> mahinder.panni@company.com</t>
  </si>
  <si>
    <t xml:space="preserve"> sukhwinder.singh@company.com</t>
  </si>
  <si>
    <t xml:space="preserve"> mary.warden@company.com</t>
  </si>
  <si>
    <t xml:space="preserve"> amanda.langchuk@company.com</t>
  </si>
  <si>
    <t xml:space="preserve"> mary.chungtham@company.com</t>
  </si>
  <si>
    <t xml:space="preserve"> adam.viles@company.com</t>
  </si>
  <si>
    <t xml:space="preserve"> rakesh.john@company.com</t>
  </si>
  <si>
    <t xml:space="preserve"> john.bhakthapaul@company.com</t>
  </si>
  <si>
    <t xml:space="preserve"> rishi.sunak@company.com</t>
  </si>
  <si>
    <t xml:space="preserve"> rakesh.venkatapuram@company.com</t>
  </si>
  <si>
    <t xml:space="preserve"> mukesh.bhatt@company.com</t>
  </si>
  <si>
    <t xml:space="preserve"> rani.gupta@company.com</t>
  </si>
  <si>
    <t xml:space="preserve"> steven.d'souza@company.com</t>
  </si>
  <si>
    <t>Sales Toppers</t>
  </si>
  <si>
    <t>Highest Escalations</t>
  </si>
  <si>
    <t>CSAT Outliers</t>
  </si>
  <si>
    <t>CSAT Toppers</t>
  </si>
  <si>
    <t>Name</t>
  </si>
  <si>
    <t xml:space="preserve">CSAT % </t>
  </si>
  <si>
    <t xml:space="preserve">Escalations </t>
  </si>
  <si>
    <t>Avg. Call Duration (minutes)</t>
  </si>
  <si>
    <t>NORTH</t>
  </si>
  <si>
    <t>Rakesh John</t>
  </si>
  <si>
    <t>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</si>
</sst>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bottom style="thin">
        <color auto="1"/>
      </bottom>
      <diagonal/>
    </border>
    <border>
      <left style="thin">
        <color theme="0"/>
      </left>
      <right style="thin">
        <color theme="0"/>
      </right>
      <top style="thin">
        <color theme="0"/>
      </top>
      <bottom style="thin">
        <color theme="0"/>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49" fontId="1" fillId="0" borderId="1" xfId="0" applyNumberFormat="1" applyFont="1" applyBorder="1" applyAlignment="1">
      <alignment horizontal="center" vertical="top"/>
    </xf>
    <xf numFmtId="0" fontId="0" fillId="0" borderId="0" xfId="0" pivotButton="1"/>
    <xf numFmtId="0" fontId="1" fillId="0" borderId="0" xfId="0" applyFont="1"/>
    <xf numFmtId="14" fontId="0" fillId="0" borderId="0" xfId="0" applyNumberFormat="1" applyAlignment="1">
      <alignment horizontal="left"/>
    </xf>
    <xf numFmtId="0" fontId="0" fillId="0" borderId="2" xfId="0" applyBorder="1"/>
    <xf numFmtId="0" fontId="0" fillId="0" borderId="0" xfId="0" applyNumberFormat="1"/>
    <xf numFmtId="0" fontId="0" fillId="0" borderId="0" xfId="0" applyNumberFormat="1" applyAlignment="1">
      <alignment horizontal="center"/>
    </xf>
    <xf numFmtId="0" fontId="0" fillId="0" borderId="0" xfId="0" applyFill="1" applyBorder="1"/>
  </cellXfs>
  <cellStyles count="1">
    <cellStyle name="Normal" xfId="0" builtinId="0"/>
  </cellStyles>
  <dxfs count="8">
    <dxf>
      <alignment horizontal="center"/>
    </dxf>
    <dxf>
      <alignment horizontal="center"/>
    </dxf>
    <dxf>
      <numFmt numFmtId="0" formatCode="General"/>
    </dxf>
    <dxf>
      <numFmt numFmtId="0" formatCode="General"/>
      <border outline="0">
        <left style="thin">
          <color theme="0"/>
        </left>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0"/>
        </left>
        <right style="thin">
          <color theme="0"/>
        </right>
        <top style="thin">
          <color theme="0"/>
        </top>
        <bottom style="thin">
          <color theme="0"/>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1" defaultTableStyle="TableStyleMedium2" defaultPivotStyle="PivotStyleLight16">
    <tableStyle name="Slicer Style 1" pivot="0" table="0" count="2" xr9:uid="{59596A09-41E8-4F14-A626-CA0AEC42AA82}"/>
  </tableStyles>
  <extLst>
    <ext xmlns:x14="http://schemas.microsoft.com/office/spreadsheetml/2009/9/main" uri="{46F421CA-312F-682f-3DD2-61675219B42D}">
      <x14:dxfs count="2">
        <dxf>
          <font>
            <u val="none"/>
            <sz val="9"/>
            <name val="Arial Black"/>
            <family val="2"/>
            <scheme val="none"/>
          </font>
          <fill>
            <gradientFill degree="90">
              <stop position="0">
                <color theme="0"/>
              </stop>
              <stop position="1">
                <color theme="8" tint="-0.25098422193060094"/>
              </stop>
            </gradientFill>
          </fill>
          <border diagonalUp="0" diagonalDown="0">
            <left/>
            <right/>
            <top/>
            <bottom/>
            <vertical/>
            <horizontal/>
          </border>
        </dxf>
        <dxf>
          <fill>
            <patternFill patternType="none">
              <bgColor auto="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onnections" Target="connection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1/relationships/timelineCache" Target="timelineCaches/timelineCache1.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66676</xdr:rowOff>
    </xdr:from>
    <xdr:to>
      <xdr:col>1</xdr:col>
      <xdr:colOff>266699</xdr:colOff>
      <xdr:row>3</xdr:row>
      <xdr:rowOff>180976</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73588276-0B76-C9FF-6F7E-639C671DEC6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100" y="66676"/>
              <a:ext cx="1885949"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4</xdr:row>
      <xdr:rowOff>19051</xdr:rowOff>
    </xdr:from>
    <xdr:to>
      <xdr:col>3</xdr:col>
      <xdr:colOff>1362075</xdr:colOff>
      <xdr:row>11</xdr:row>
      <xdr:rowOff>171450</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5C56D394-E112-779B-ECFB-6B49F989E0CA}"/>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47625" y="781051"/>
              <a:ext cx="1847850" cy="1581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333374</xdr:colOff>
      <xdr:row>0</xdr:row>
      <xdr:rowOff>66676</xdr:rowOff>
    </xdr:from>
    <xdr:to>
      <xdr:col>3</xdr:col>
      <xdr:colOff>1409699</xdr:colOff>
      <xdr:row>3</xdr:row>
      <xdr:rowOff>180976</xdr:rowOff>
    </xdr:to>
    <mc:AlternateContent xmlns:mc="http://schemas.openxmlformats.org/markup-compatibility/2006" xmlns:a14="http://schemas.microsoft.com/office/drawing/2010/main">
      <mc:Choice Requires="a14">
        <xdr:graphicFrame macro="">
          <xdr:nvGraphicFramePr>
            <xdr:cNvPr id="4" name="Quarter">
              <a:extLst>
                <a:ext uri="{FF2B5EF4-FFF2-40B4-BE49-F238E27FC236}">
                  <a16:creationId xmlns:a16="http://schemas.microsoft.com/office/drawing/2014/main" id="{C2C4ACC7-4DAC-0A6F-56BE-EEB0ADA407E7}"/>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990725" y="66676"/>
              <a:ext cx="2847976"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333376</xdr:colOff>
      <xdr:row>0</xdr:row>
      <xdr:rowOff>161926</xdr:rowOff>
    </xdr:from>
    <xdr:to>
      <xdr:col>7</xdr:col>
      <xdr:colOff>504825</xdr:colOff>
      <xdr:row>8</xdr:row>
      <xdr:rowOff>57150</xdr:rowOff>
    </xdr:to>
    <mc:AlternateContent xmlns:mc="http://schemas.openxmlformats.org/markup-compatibility/2006" xmlns:tsle="http://schemas.microsoft.com/office/drawing/2012/timeslicer">
      <mc:Choice Requires="tsle">
        <xdr:graphicFrame macro="">
          <xdr:nvGraphicFramePr>
            <xdr:cNvPr id="6" name="Date">
              <a:extLst>
                <a:ext uri="{FF2B5EF4-FFF2-40B4-BE49-F238E27FC236}">
                  <a16:creationId xmlns:a16="http://schemas.microsoft.com/office/drawing/2014/main" id="{456FE586-0D17-D620-F56C-E15B2611240E}"/>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101293" y="161926"/>
              <a:ext cx="2806699" cy="141922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923925</xdr:colOff>
      <xdr:row>9</xdr:row>
      <xdr:rowOff>152400</xdr:rowOff>
    </xdr:from>
    <xdr:to>
      <xdr:col>9</xdr:col>
      <xdr:colOff>771525</xdr:colOff>
      <xdr:row>11</xdr:row>
      <xdr:rowOff>76200</xdr:rowOff>
    </xdr:to>
    <xdr:grpSp>
      <xdr:nvGrpSpPr>
        <xdr:cNvPr id="28" name="Group 27">
          <a:extLst>
            <a:ext uri="{FF2B5EF4-FFF2-40B4-BE49-F238E27FC236}">
              <a16:creationId xmlns:a16="http://schemas.microsoft.com/office/drawing/2014/main" id="{CB417896-8ED5-359E-8521-08DA9069F2C0}"/>
            </a:ext>
          </a:extLst>
        </xdr:cNvPr>
        <xdr:cNvGrpSpPr/>
      </xdr:nvGrpSpPr>
      <xdr:grpSpPr>
        <a:xfrm>
          <a:off x="7633758" y="1866900"/>
          <a:ext cx="3477684" cy="304800"/>
          <a:chOff x="7639050" y="1866900"/>
          <a:chExt cx="3476625" cy="304800"/>
        </a:xfrm>
      </xdr:grpSpPr>
      <xdr:sp macro="" textlink="">
        <xdr:nvSpPr>
          <xdr:cNvPr id="7" name="Rectangle: Rounded Corners 6">
            <a:extLst>
              <a:ext uri="{FF2B5EF4-FFF2-40B4-BE49-F238E27FC236}">
                <a16:creationId xmlns:a16="http://schemas.microsoft.com/office/drawing/2014/main" id="{6C00ABE4-FDE6-259E-01DB-B1E9A82CF8F2}"/>
              </a:ext>
            </a:extLst>
          </xdr:cNvPr>
          <xdr:cNvSpPr/>
        </xdr:nvSpPr>
        <xdr:spPr>
          <a:xfrm>
            <a:off x="7639050" y="1866900"/>
            <a:ext cx="1381125" cy="3048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b="1" kern="1200">
                <a:latin typeface="Arial Black" panose="020B0A04020102020204" pitchFamily="34" charset="0"/>
              </a:rPr>
              <a:t>Sales</a:t>
            </a:r>
            <a:r>
              <a:rPr lang="en-US" sz="1100" b="1" kern="1200" baseline="0">
                <a:latin typeface="Arial Black" panose="020B0A04020102020204" pitchFamily="34" charset="0"/>
              </a:rPr>
              <a:t> Toppers</a:t>
            </a:r>
            <a:endParaRPr lang="en-US" sz="1100" b="1" kern="1200">
              <a:latin typeface="Arial Black" panose="020B0A04020102020204" pitchFamily="34" charset="0"/>
            </a:endParaRPr>
          </a:p>
        </xdr:txBody>
      </xdr:sp>
      <xdr:cxnSp macro="">
        <xdr:nvCxnSpPr>
          <xdr:cNvPr id="15" name="Straight Connector 14">
            <a:extLst>
              <a:ext uri="{FF2B5EF4-FFF2-40B4-BE49-F238E27FC236}">
                <a16:creationId xmlns:a16="http://schemas.microsoft.com/office/drawing/2014/main" id="{B945CD93-314B-210B-F523-017D2A9FB23B}"/>
              </a:ext>
            </a:extLst>
          </xdr:cNvPr>
          <xdr:cNvCxnSpPr/>
        </xdr:nvCxnSpPr>
        <xdr:spPr>
          <a:xfrm>
            <a:off x="9081169" y="2066925"/>
            <a:ext cx="2034506"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twoCellAnchor>
    <xdr:from>
      <xdr:col>5</xdr:col>
      <xdr:colOff>904875</xdr:colOff>
      <xdr:row>23</xdr:row>
      <xdr:rowOff>85725</xdr:rowOff>
    </xdr:from>
    <xdr:to>
      <xdr:col>9</xdr:col>
      <xdr:colOff>752475</xdr:colOff>
      <xdr:row>25</xdr:row>
      <xdr:rowOff>9525</xdr:rowOff>
    </xdr:to>
    <xdr:grpSp>
      <xdr:nvGrpSpPr>
        <xdr:cNvPr id="29" name="Group 28">
          <a:extLst>
            <a:ext uri="{FF2B5EF4-FFF2-40B4-BE49-F238E27FC236}">
              <a16:creationId xmlns:a16="http://schemas.microsoft.com/office/drawing/2014/main" id="{E3D9DAE5-B575-2783-0032-B92EE0793076}"/>
            </a:ext>
          </a:extLst>
        </xdr:cNvPr>
        <xdr:cNvGrpSpPr/>
      </xdr:nvGrpSpPr>
      <xdr:grpSpPr>
        <a:xfrm>
          <a:off x="7614708" y="4467225"/>
          <a:ext cx="3477684" cy="304800"/>
          <a:chOff x="7639050" y="1866900"/>
          <a:chExt cx="3476625" cy="304800"/>
        </a:xfrm>
      </xdr:grpSpPr>
      <xdr:sp macro="" textlink="">
        <xdr:nvSpPr>
          <xdr:cNvPr id="30" name="Rectangle: Rounded Corners 29">
            <a:extLst>
              <a:ext uri="{FF2B5EF4-FFF2-40B4-BE49-F238E27FC236}">
                <a16:creationId xmlns:a16="http://schemas.microsoft.com/office/drawing/2014/main" id="{6C942BCF-9920-D4B1-AA75-997559919336}"/>
              </a:ext>
            </a:extLst>
          </xdr:cNvPr>
          <xdr:cNvSpPr/>
        </xdr:nvSpPr>
        <xdr:spPr>
          <a:xfrm>
            <a:off x="7639050" y="1866900"/>
            <a:ext cx="1381125" cy="3048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b="1" kern="1200" baseline="0">
                <a:latin typeface="Arial Black" panose="020B0A04020102020204" pitchFamily="34" charset="0"/>
              </a:rPr>
              <a:t>CSAT Toppers</a:t>
            </a:r>
            <a:endParaRPr lang="en-US" sz="1100" b="1" kern="1200">
              <a:latin typeface="Arial Black" panose="020B0A04020102020204" pitchFamily="34" charset="0"/>
            </a:endParaRPr>
          </a:p>
        </xdr:txBody>
      </xdr:sp>
      <xdr:cxnSp macro="">
        <xdr:nvCxnSpPr>
          <xdr:cNvPr id="31" name="Straight Connector 30">
            <a:extLst>
              <a:ext uri="{FF2B5EF4-FFF2-40B4-BE49-F238E27FC236}">
                <a16:creationId xmlns:a16="http://schemas.microsoft.com/office/drawing/2014/main" id="{D1435B6F-FD28-2672-F716-9FD810EE32E4}"/>
              </a:ext>
            </a:extLst>
          </xdr:cNvPr>
          <xdr:cNvCxnSpPr/>
        </xdr:nvCxnSpPr>
        <xdr:spPr>
          <a:xfrm>
            <a:off x="9081169" y="2066925"/>
            <a:ext cx="2034506"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twoCellAnchor>
    <xdr:from>
      <xdr:col>10</xdr:col>
      <xdr:colOff>914400</xdr:colOff>
      <xdr:row>23</xdr:row>
      <xdr:rowOff>85725</xdr:rowOff>
    </xdr:from>
    <xdr:to>
      <xdr:col>14</xdr:col>
      <xdr:colOff>228600</xdr:colOff>
      <xdr:row>25</xdr:row>
      <xdr:rowOff>9525</xdr:rowOff>
    </xdr:to>
    <xdr:grpSp>
      <xdr:nvGrpSpPr>
        <xdr:cNvPr id="32" name="Group 31">
          <a:extLst>
            <a:ext uri="{FF2B5EF4-FFF2-40B4-BE49-F238E27FC236}">
              <a16:creationId xmlns:a16="http://schemas.microsoft.com/office/drawing/2014/main" id="{AAF3E186-6AE5-5828-E5BA-FF4B041B5F7F}"/>
            </a:ext>
          </a:extLst>
        </xdr:cNvPr>
        <xdr:cNvGrpSpPr/>
      </xdr:nvGrpSpPr>
      <xdr:grpSpPr>
        <a:xfrm>
          <a:off x="13243983" y="4467225"/>
          <a:ext cx="5325534" cy="304800"/>
          <a:chOff x="7639050" y="1866900"/>
          <a:chExt cx="3895725" cy="304800"/>
        </a:xfrm>
      </xdr:grpSpPr>
      <xdr:sp macro="" textlink="">
        <xdr:nvSpPr>
          <xdr:cNvPr id="33" name="Rectangle: Rounded Corners 32">
            <a:extLst>
              <a:ext uri="{FF2B5EF4-FFF2-40B4-BE49-F238E27FC236}">
                <a16:creationId xmlns:a16="http://schemas.microsoft.com/office/drawing/2014/main" id="{1CE9E9AB-18F6-90C0-3359-107BFFA1CB1B}"/>
              </a:ext>
            </a:extLst>
          </xdr:cNvPr>
          <xdr:cNvSpPr/>
        </xdr:nvSpPr>
        <xdr:spPr>
          <a:xfrm>
            <a:off x="7639050" y="1866900"/>
            <a:ext cx="1381125" cy="3048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b="1" kern="1200" baseline="0">
                <a:latin typeface="Arial Black" panose="020B0A04020102020204" pitchFamily="34" charset="0"/>
              </a:rPr>
              <a:t>CSAT Outliers</a:t>
            </a:r>
            <a:endParaRPr lang="en-US" sz="1100" b="1" kern="1200">
              <a:latin typeface="Arial Black" panose="020B0A04020102020204" pitchFamily="34" charset="0"/>
            </a:endParaRPr>
          </a:p>
        </xdr:txBody>
      </xdr:sp>
      <xdr:cxnSp macro="">
        <xdr:nvCxnSpPr>
          <xdr:cNvPr id="34" name="Straight Connector 33">
            <a:extLst>
              <a:ext uri="{FF2B5EF4-FFF2-40B4-BE49-F238E27FC236}">
                <a16:creationId xmlns:a16="http://schemas.microsoft.com/office/drawing/2014/main" id="{1CEC38BA-A3A0-8A13-B54C-F723A3ED709A}"/>
              </a:ext>
            </a:extLst>
          </xdr:cNvPr>
          <xdr:cNvCxnSpPr/>
        </xdr:nvCxnSpPr>
        <xdr:spPr>
          <a:xfrm>
            <a:off x="9081169" y="2066925"/>
            <a:ext cx="2453606"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twoCellAnchor>
    <xdr:from>
      <xdr:col>10</xdr:col>
      <xdr:colOff>885826</xdr:colOff>
      <xdr:row>9</xdr:row>
      <xdr:rowOff>152400</xdr:rowOff>
    </xdr:from>
    <xdr:to>
      <xdr:col>14</xdr:col>
      <xdr:colOff>285751</xdr:colOff>
      <xdr:row>11</xdr:row>
      <xdr:rowOff>76200</xdr:rowOff>
    </xdr:to>
    <xdr:grpSp>
      <xdr:nvGrpSpPr>
        <xdr:cNvPr id="35" name="Group 34">
          <a:extLst>
            <a:ext uri="{FF2B5EF4-FFF2-40B4-BE49-F238E27FC236}">
              <a16:creationId xmlns:a16="http://schemas.microsoft.com/office/drawing/2014/main" id="{C4C7EE27-5B40-4C08-0165-5BD2B6FB570F}"/>
            </a:ext>
          </a:extLst>
        </xdr:cNvPr>
        <xdr:cNvGrpSpPr/>
      </xdr:nvGrpSpPr>
      <xdr:grpSpPr>
        <a:xfrm>
          <a:off x="13215409" y="1866900"/>
          <a:ext cx="5411259" cy="304800"/>
          <a:chOff x="7639050" y="1866900"/>
          <a:chExt cx="3072366" cy="304800"/>
        </a:xfrm>
      </xdr:grpSpPr>
      <xdr:sp macro="" textlink="">
        <xdr:nvSpPr>
          <xdr:cNvPr id="36" name="Rectangle: Rounded Corners 35">
            <a:extLst>
              <a:ext uri="{FF2B5EF4-FFF2-40B4-BE49-F238E27FC236}">
                <a16:creationId xmlns:a16="http://schemas.microsoft.com/office/drawing/2014/main" id="{8B99CE10-1C44-CF90-BFD2-E9BDAB0F6D20}"/>
              </a:ext>
            </a:extLst>
          </xdr:cNvPr>
          <xdr:cNvSpPr/>
        </xdr:nvSpPr>
        <xdr:spPr>
          <a:xfrm>
            <a:off x="7639050" y="1866900"/>
            <a:ext cx="1381125"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kern="1200">
                <a:latin typeface="Arial Black" panose="020B0A04020102020204" pitchFamily="34" charset="0"/>
              </a:rPr>
              <a:t>Highest</a:t>
            </a:r>
            <a:r>
              <a:rPr lang="en-US" sz="1100" b="1" kern="1200" baseline="0">
                <a:latin typeface="Arial Black" panose="020B0A04020102020204" pitchFamily="34" charset="0"/>
              </a:rPr>
              <a:t> Escalations</a:t>
            </a:r>
            <a:endParaRPr lang="en-US" sz="1100" b="1" kern="1200">
              <a:latin typeface="Arial Black" panose="020B0A04020102020204" pitchFamily="34" charset="0"/>
            </a:endParaRPr>
          </a:p>
        </xdr:txBody>
      </xdr:sp>
      <xdr:cxnSp macro="">
        <xdr:nvCxnSpPr>
          <xdr:cNvPr id="37" name="Straight Connector 36">
            <a:extLst>
              <a:ext uri="{FF2B5EF4-FFF2-40B4-BE49-F238E27FC236}">
                <a16:creationId xmlns:a16="http://schemas.microsoft.com/office/drawing/2014/main" id="{335F32A2-482D-C729-0D5E-C74B60A66364}"/>
              </a:ext>
            </a:extLst>
          </xdr:cNvPr>
          <xdr:cNvCxnSpPr/>
        </xdr:nvCxnSpPr>
        <xdr:spPr>
          <a:xfrm>
            <a:off x="9081169" y="2066925"/>
            <a:ext cx="1630247"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twoCellAnchor editAs="absolute">
    <xdr:from>
      <xdr:col>7</xdr:col>
      <xdr:colOff>809625</xdr:colOff>
      <xdr:row>0</xdr:row>
      <xdr:rowOff>142876</xdr:rowOff>
    </xdr:from>
    <xdr:to>
      <xdr:col>9</xdr:col>
      <xdr:colOff>1924050</xdr:colOff>
      <xdr:row>5</xdr:row>
      <xdr:rowOff>180976</xdr:rowOff>
    </xdr:to>
    <mc:AlternateContent xmlns:mc="http://schemas.openxmlformats.org/markup-compatibility/2006" xmlns:a14="http://schemas.microsoft.com/office/drawing/2010/main">
      <mc:Choice Requires="a14">
        <xdr:graphicFrame macro="">
          <xdr:nvGraphicFramePr>
            <xdr:cNvPr id="40" name="Region">
              <a:extLst>
                <a:ext uri="{FF2B5EF4-FFF2-40B4-BE49-F238E27FC236}">
                  <a16:creationId xmlns:a16="http://schemas.microsoft.com/office/drawing/2014/main" id="{34E0DF24-C5AD-6222-4579-B838EB4F4A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212792" y="142876"/>
              <a:ext cx="3051175"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41274</xdr:colOff>
      <xdr:row>8</xdr:row>
      <xdr:rowOff>95252</xdr:rowOff>
    </xdr:from>
    <xdr:to>
      <xdr:col>20</xdr:col>
      <xdr:colOff>1936750</xdr:colOff>
      <xdr:row>12</xdr:row>
      <xdr:rowOff>95252</xdr:rowOff>
    </xdr:to>
    <mc:AlternateContent xmlns:mc="http://schemas.openxmlformats.org/markup-compatibility/2006" xmlns:a14="http://schemas.microsoft.com/office/drawing/2010/main">
      <mc:Choice Requires="a14">
        <xdr:graphicFrame macro="">
          <xdr:nvGraphicFramePr>
            <xdr:cNvPr id="41" name="Shift">
              <a:extLst>
                <a:ext uri="{FF2B5EF4-FFF2-40B4-BE49-F238E27FC236}">
                  <a16:creationId xmlns:a16="http://schemas.microsoft.com/office/drawing/2014/main" id="{8245BCEC-DE15-7760-1EF2-12844043EE08}"/>
                </a:ext>
              </a:extLst>
            </xdr:cNvPr>
            <xdr:cNvGraphicFramePr/>
          </xdr:nvGraphicFramePr>
          <xdr:xfrm>
            <a:off x="0" y="0"/>
            <a:ext cx="0" cy="0"/>
          </xdr:xfrm>
          <a:graphic>
            <a:graphicData uri="http://schemas.microsoft.com/office/drawing/2010/slicer">
              <sle:slicer xmlns:sle="http://schemas.microsoft.com/office/drawing/2010/slicer" name="Shift"/>
            </a:graphicData>
          </a:graphic>
        </xdr:graphicFrame>
      </mc:Choice>
      <mc:Fallback xmlns="">
        <xdr:sp macro="" textlink="">
          <xdr:nvSpPr>
            <xdr:cNvPr id="0" name=""/>
            <xdr:cNvSpPr>
              <a:spLocks noTextEdit="1"/>
            </xdr:cNvSpPr>
          </xdr:nvSpPr>
          <xdr:spPr>
            <a:xfrm>
              <a:off x="21578357" y="1619252"/>
              <a:ext cx="8266643" cy="76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17989</xdr:colOff>
      <xdr:row>5</xdr:row>
      <xdr:rowOff>131234</xdr:rowOff>
    </xdr:from>
    <xdr:to>
      <xdr:col>20</xdr:col>
      <xdr:colOff>1915581</xdr:colOff>
      <xdr:row>7</xdr:row>
      <xdr:rowOff>55034</xdr:rowOff>
    </xdr:to>
    <xdr:grpSp>
      <xdr:nvGrpSpPr>
        <xdr:cNvPr id="42" name="Group 41">
          <a:extLst>
            <a:ext uri="{FF2B5EF4-FFF2-40B4-BE49-F238E27FC236}">
              <a16:creationId xmlns:a16="http://schemas.microsoft.com/office/drawing/2014/main" id="{9FB51C68-6650-9813-336E-3A6375F9A389}"/>
            </a:ext>
          </a:extLst>
        </xdr:cNvPr>
        <xdr:cNvGrpSpPr/>
      </xdr:nvGrpSpPr>
      <xdr:grpSpPr>
        <a:xfrm>
          <a:off x="21555072" y="1083734"/>
          <a:ext cx="8268759" cy="304800"/>
          <a:chOff x="7639050" y="1866900"/>
          <a:chExt cx="4604719" cy="304800"/>
        </a:xfrm>
      </xdr:grpSpPr>
      <xdr:sp macro="" textlink="">
        <xdr:nvSpPr>
          <xdr:cNvPr id="43" name="Rectangle: Rounded Corners 42">
            <a:extLst>
              <a:ext uri="{FF2B5EF4-FFF2-40B4-BE49-F238E27FC236}">
                <a16:creationId xmlns:a16="http://schemas.microsoft.com/office/drawing/2014/main" id="{51A4C151-00AB-6935-3FC3-61A7F7419B76}"/>
              </a:ext>
            </a:extLst>
          </xdr:cNvPr>
          <xdr:cNvSpPr/>
        </xdr:nvSpPr>
        <xdr:spPr>
          <a:xfrm>
            <a:off x="7639050" y="1866900"/>
            <a:ext cx="1610740" cy="3048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b="1" kern="1200" baseline="0">
                <a:latin typeface="Arial Black" panose="020B0A04020102020204" pitchFamily="34" charset="0"/>
              </a:rPr>
              <a:t>Call Volumes Handled (Shift-Wise)</a:t>
            </a:r>
            <a:endParaRPr lang="en-US" sz="1100" b="1" kern="1200">
              <a:latin typeface="Arial Black" panose="020B0A04020102020204" pitchFamily="34" charset="0"/>
            </a:endParaRPr>
          </a:p>
        </xdr:txBody>
      </xdr:sp>
      <xdr:cxnSp macro="">
        <xdr:nvCxnSpPr>
          <xdr:cNvPr id="44" name="Straight Connector 43">
            <a:extLst>
              <a:ext uri="{FF2B5EF4-FFF2-40B4-BE49-F238E27FC236}">
                <a16:creationId xmlns:a16="http://schemas.microsoft.com/office/drawing/2014/main" id="{62546B85-1A7C-B700-FA41-318C8D623F0F}"/>
              </a:ext>
            </a:extLst>
          </xdr:cNvPr>
          <xdr:cNvCxnSpPr/>
        </xdr:nvCxnSpPr>
        <xdr:spPr>
          <a:xfrm>
            <a:off x="9320514" y="2066925"/>
            <a:ext cx="2923255"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twoCellAnchor>
    <xdr:from>
      <xdr:col>10</xdr:col>
      <xdr:colOff>913340</xdr:colOff>
      <xdr:row>0</xdr:row>
      <xdr:rowOff>95250</xdr:rowOff>
    </xdr:from>
    <xdr:to>
      <xdr:col>14</xdr:col>
      <xdr:colOff>624415</xdr:colOff>
      <xdr:row>2</xdr:row>
      <xdr:rowOff>63500</xdr:rowOff>
    </xdr:to>
    <xdr:grpSp>
      <xdr:nvGrpSpPr>
        <xdr:cNvPr id="55" name="Group 54">
          <a:extLst>
            <a:ext uri="{FF2B5EF4-FFF2-40B4-BE49-F238E27FC236}">
              <a16:creationId xmlns:a16="http://schemas.microsoft.com/office/drawing/2014/main" id="{1843C20D-215C-4D0E-F6D6-EEEEF2E9100C}"/>
            </a:ext>
          </a:extLst>
        </xdr:cNvPr>
        <xdr:cNvGrpSpPr/>
      </xdr:nvGrpSpPr>
      <xdr:grpSpPr>
        <a:xfrm>
          <a:off x="13242923" y="95250"/>
          <a:ext cx="5722409" cy="349250"/>
          <a:chOff x="7639050" y="1866900"/>
          <a:chExt cx="3476625" cy="304800"/>
        </a:xfrm>
      </xdr:grpSpPr>
      <xdr:sp macro="" textlink="">
        <xdr:nvSpPr>
          <xdr:cNvPr id="56" name="Rectangle: Rounded Corners 55">
            <a:extLst>
              <a:ext uri="{FF2B5EF4-FFF2-40B4-BE49-F238E27FC236}">
                <a16:creationId xmlns:a16="http://schemas.microsoft.com/office/drawing/2014/main" id="{5FEBA20E-C599-E840-CBD7-DC8BEC423EF1}"/>
              </a:ext>
            </a:extLst>
          </xdr:cNvPr>
          <xdr:cNvSpPr/>
        </xdr:nvSpPr>
        <xdr:spPr>
          <a:xfrm>
            <a:off x="7639050" y="1866900"/>
            <a:ext cx="1271184" cy="3048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n-US" sz="1100" b="1" kern="1200">
                <a:latin typeface="Arial Black" panose="020B0A04020102020204" pitchFamily="34" charset="0"/>
              </a:rPr>
              <a:t>Region</a:t>
            </a:r>
            <a:r>
              <a:rPr lang="en-US" sz="1100" b="1" kern="1200" baseline="0">
                <a:latin typeface="Arial Black" panose="020B0A04020102020204" pitchFamily="34" charset="0"/>
              </a:rPr>
              <a:t> with High CSATS</a:t>
            </a:r>
            <a:endParaRPr lang="en-US" sz="1100" b="1" kern="1200">
              <a:latin typeface="Arial Black" panose="020B0A04020102020204" pitchFamily="34" charset="0"/>
            </a:endParaRPr>
          </a:p>
        </xdr:txBody>
      </xdr:sp>
      <xdr:cxnSp macro="">
        <xdr:nvCxnSpPr>
          <xdr:cNvPr id="57" name="Straight Connector 56">
            <a:extLst>
              <a:ext uri="{FF2B5EF4-FFF2-40B4-BE49-F238E27FC236}">
                <a16:creationId xmlns:a16="http://schemas.microsoft.com/office/drawing/2014/main" id="{F72BD3E8-1BBA-053F-3B38-6993B8158655}"/>
              </a:ext>
            </a:extLst>
          </xdr:cNvPr>
          <xdr:cNvCxnSpPr/>
        </xdr:nvCxnSpPr>
        <xdr:spPr>
          <a:xfrm>
            <a:off x="8955243" y="2066925"/>
            <a:ext cx="2160432" cy="0"/>
          </a:xfrm>
          <a:prstGeom prst="line">
            <a:avLst/>
          </a:prstGeom>
        </xdr:spPr>
        <xdr:style>
          <a:lnRef idx="2">
            <a:schemeClr val="accent4"/>
          </a:lnRef>
          <a:fillRef idx="0">
            <a:schemeClr val="accent4"/>
          </a:fillRef>
          <a:effectRef idx="1">
            <a:schemeClr val="accent4"/>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209550</xdr:colOff>
          <xdr:row>2</xdr:row>
          <xdr:rowOff>152400</xdr:rowOff>
        </xdr:from>
        <xdr:to>
          <xdr:col>13</xdr:col>
          <xdr:colOff>400050</xdr:colOff>
          <xdr:row>4</xdr:row>
          <xdr:rowOff>38100</xdr:rowOff>
        </xdr:to>
        <xdr:sp macro="" textlink="">
          <xdr:nvSpPr>
            <xdr:cNvPr id="4100" name="CbSelect_Recep"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24.51705023148" backgroundQuery="1" createdVersion="8" refreshedVersion="8" minRefreshableVersion="3" recordCount="100" xr:uid="{D8E5F405-B378-41A1-B315-C9AC14415169}">
  <cacheSource type="external" connectionId="1"/>
  <cacheFields count="13">
    <cacheField name="Date" numFmtId="0">
      <sharedItems containsSemiMixedTypes="0" containsNonDate="0" containsDate="1" containsString="0" minDate="2024-01-01T00:00:00" maxDate="2024-04-10T00:00:00" count="1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sharedItems>
    </cacheField>
    <cacheField name="Region" numFmtId="0">
      <sharedItems count="4">
        <s v="EAST"/>
        <s v="NORTH"/>
        <s v="SOUTH"/>
        <s v="WEST"/>
      </sharedItems>
    </cacheField>
    <cacheField name="Year" numFmtId="0">
      <sharedItems containsSemiMixedTypes="0" containsString="0" containsNumber="1" containsInteger="1" minValue="2024" maxValue="2024" count="1">
        <n v="2024"/>
      </sharedItems>
    </cacheField>
    <cacheField name="Month Name" numFmtId="0">
      <sharedItems count="4">
        <s v="January"/>
        <s v="February"/>
        <s v="March"/>
        <s v="April"/>
      </sharedItems>
    </cacheField>
    <cacheField name="Shift" numFmtId="0">
      <sharedItems count="4">
        <s v="Morning"/>
        <s v="Afternoon"/>
        <s v="Evening"/>
        <s v="Night"/>
      </sharedItems>
    </cacheField>
    <cacheField name="Quarter" numFmtId="0">
      <sharedItems containsSemiMixedTypes="0" containsString="0" containsNumber="1" containsInteger="1" minValue="1" maxValue="2" count="2">
        <n v="1"/>
        <n v="2"/>
      </sharedItems>
    </cacheField>
    <cacheField name="Agent ID" numFmtId="0">
      <sharedItems count="100">
        <s v="AID001"/>
        <s v="AID002"/>
        <s v="AID003"/>
        <s v="AID004"/>
        <s v="AID005"/>
        <s v="AID006"/>
        <s v="AID007"/>
        <s v="AID008"/>
        <s v="AID009"/>
        <s v="AID010"/>
        <s v="AID011"/>
        <s v="AID012"/>
        <s v="AID013"/>
        <s v="AID014"/>
        <s v="AID015"/>
        <s v="AID016"/>
        <s v="AID017"/>
        <s v="AID018"/>
        <s v="AID019"/>
        <s v="AID020"/>
        <s v="AID021"/>
        <s v="AID022"/>
        <s v="AID023"/>
        <s v="AID024"/>
        <s v="AID025"/>
        <s v="AID026"/>
        <s v="AID027"/>
        <s v="AID028"/>
        <s v="AID029"/>
        <s v="AID030"/>
        <s v="AID031"/>
        <s v="AID032"/>
        <s v="AID033"/>
        <s v="AID034"/>
        <s v="AID035"/>
        <s v="AID036"/>
        <s v="AID037"/>
        <s v="AID038"/>
        <s v="AID039"/>
        <s v="AID040"/>
        <s v="AID041"/>
        <s v="AID042"/>
        <s v="AID043"/>
        <s v="AID044"/>
        <s v="AID045"/>
        <s v="AID046"/>
        <s v="AID047"/>
        <s v="AID048"/>
        <s v="AID049"/>
        <s v="AID050"/>
        <s v="AID051"/>
        <s v="AID052"/>
        <s v="AID053"/>
        <s v="AID054"/>
        <s v="AID055"/>
        <s v="AID056"/>
        <s v="AID057"/>
        <s v="AID058"/>
        <s v="AID059"/>
        <s v="AID060"/>
        <s v="AID061"/>
        <s v="AID062"/>
        <s v="AID063"/>
        <s v="AID064"/>
        <s v="AID065"/>
        <s v="AID066"/>
        <s v="AID067"/>
        <s v="AID068"/>
        <s v="AID069"/>
        <s v="AID070"/>
        <s v="AID071"/>
        <s v="AID072"/>
        <s v="AID073"/>
        <s v="AID074"/>
        <s v="AID075"/>
        <s v="AID076"/>
        <s v="AID077"/>
        <s v="AID078"/>
        <s v="AID079"/>
        <s v="AID080"/>
        <s v="AID081"/>
        <s v="AID082"/>
        <s v="AID083"/>
        <s v="AID084"/>
        <s v="AID085"/>
        <s v="AID086"/>
        <s v="AID087"/>
        <s v="AID088"/>
        <s v="AID089"/>
        <s v="AID090"/>
        <s v="AID091"/>
        <s v="AID092"/>
        <s v="AID093"/>
        <s v="AID094"/>
        <s v="AID095"/>
        <s v="AID096"/>
        <s v="AID097"/>
        <s v="AID098"/>
        <s v="AID099"/>
        <s v="AID100"/>
      </sharedItems>
    </cacheField>
    <cacheField name="Agent Name" numFmtId="0">
      <sharedItems count="30">
        <s v="Edward Doe"/>
        <s v="John Doe"/>
        <s v="Miriam Kalami"/>
        <s v="Rohit Choudhry"/>
        <s v="Gagan Choudhry"/>
        <s v="Faisal Khan"/>
        <s v="J. P. Morgan"/>
        <s v="Swati Thakur"/>
        <s v="Kalki Gudimalla"/>
        <s v="Varun Dhawan"/>
        <s v="Amitabh Kant"/>
        <s v="Mukesh Ambani"/>
        <s v="Kanti Majumdar"/>
        <s v="Ol Hagson"/>
        <s v="Venkat Ganesan"/>
        <s v="Venkat Naidu"/>
        <s v="Gouri Srivastav"/>
        <s v="Mahinder Panni"/>
        <s v="Sukhwinder Singh"/>
        <s v="Mary Warden"/>
        <s v="Amanda Langchuk"/>
        <s v="Mary Chungtham"/>
        <s v="Adam Viles"/>
        <s v="Rakesh John"/>
        <s v="John Bhakthapaul"/>
        <s v="Rishi Sunak"/>
        <s v="Rakesh Venkatapuram"/>
        <s v="Mukesh Bhatt"/>
        <s v="Rani Gupta"/>
        <s v="Steven D'Souza"/>
      </sharedItems>
    </cacheField>
    <cacheField name="Calls Handled" numFmtId="0">
      <sharedItems containsSemiMixedTypes="0" containsString="0" containsNumber="1" containsInteger="1" minValue="6" maxValue="194"/>
    </cacheField>
    <cacheField name="Avg. Call Duration (min.)" numFmtId="0">
      <sharedItems containsSemiMixedTypes="0" containsString="0" containsNumber="1" minValue="1.1000000000000001" maxValue="32.479999999999997"/>
    </cacheField>
    <cacheField name="Sales Count" numFmtId="0">
      <sharedItems containsSemiMixedTypes="0" containsString="0" containsNumber="1" containsInteger="1" minValue="0" maxValue="18" count="13">
        <n v="2"/>
        <n v="18"/>
        <n v="0"/>
        <n v="14"/>
        <n v="8"/>
        <n v="10"/>
        <n v="5"/>
        <n v="6"/>
        <n v="9"/>
        <n v="1"/>
        <n v="7"/>
        <n v="3"/>
        <n v="4"/>
      </sharedItems>
    </cacheField>
    <cacheField name="CSAT %" numFmtId="0">
      <sharedItems containsSemiMixedTypes="0" containsString="0" containsNumber="1" minValue="50.25" maxValue="183.54"/>
    </cacheField>
    <cacheField name="Escalation Count" numFmtId="0">
      <sharedItems containsSemiMixedTypes="0" containsString="0" containsNumber="1" containsInteger="1" minValue="0" maxValue="10" count="8">
        <n v="10"/>
        <n v="8"/>
        <n v="2"/>
        <n v="5"/>
        <n v="4"/>
        <n v="3"/>
        <n v="1"/>
        <n v="0"/>
      </sharedItems>
    </cacheField>
  </cacheFields>
  <extLst>
    <ext xmlns:x14="http://schemas.microsoft.com/office/spreadsheetml/2009/9/main" uri="{725AE2AE-9491-48be-B2B4-4EB974FC3084}">
      <x14:pivotCacheDefinition pivotCacheId="20486026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n v="112"/>
    <n v="12.68"/>
    <x v="0"/>
    <n v="109.02"/>
    <x v="0"/>
  </r>
  <r>
    <x v="1"/>
    <x v="1"/>
    <x v="0"/>
    <x v="0"/>
    <x v="1"/>
    <x v="0"/>
    <x v="1"/>
    <x v="1"/>
    <n v="194"/>
    <n v="22.62"/>
    <x v="1"/>
    <n v="183.54"/>
    <x v="0"/>
  </r>
  <r>
    <x v="2"/>
    <x v="2"/>
    <x v="0"/>
    <x v="0"/>
    <x v="0"/>
    <x v="0"/>
    <x v="2"/>
    <x v="2"/>
    <n v="38"/>
    <n v="7.36"/>
    <x v="2"/>
    <n v="132.08000000000001"/>
    <x v="1"/>
  </r>
  <r>
    <x v="3"/>
    <x v="2"/>
    <x v="0"/>
    <x v="0"/>
    <x v="0"/>
    <x v="0"/>
    <x v="3"/>
    <x v="3"/>
    <n v="152"/>
    <n v="32.479999999999997"/>
    <x v="3"/>
    <n v="118.66"/>
    <x v="2"/>
  </r>
  <r>
    <x v="4"/>
    <x v="2"/>
    <x v="0"/>
    <x v="0"/>
    <x v="2"/>
    <x v="0"/>
    <x v="4"/>
    <x v="4"/>
    <n v="130"/>
    <n v="4.84"/>
    <x v="2"/>
    <n v="104.08"/>
    <x v="2"/>
  </r>
  <r>
    <x v="5"/>
    <x v="1"/>
    <x v="0"/>
    <x v="0"/>
    <x v="0"/>
    <x v="0"/>
    <x v="5"/>
    <x v="5"/>
    <n v="25"/>
    <n v="19.75"/>
    <x v="4"/>
    <n v="79.540000000000006"/>
    <x v="3"/>
  </r>
  <r>
    <x v="6"/>
    <x v="3"/>
    <x v="0"/>
    <x v="0"/>
    <x v="1"/>
    <x v="0"/>
    <x v="6"/>
    <x v="5"/>
    <n v="87"/>
    <n v="15.67"/>
    <x v="5"/>
    <n v="83.88"/>
    <x v="4"/>
  </r>
  <r>
    <x v="7"/>
    <x v="0"/>
    <x v="0"/>
    <x v="0"/>
    <x v="2"/>
    <x v="0"/>
    <x v="7"/>
    <x v="6"/>
    <n v="91"/>
    <n v="4.78"/>
    <x v="6"/>
    <n v="50.83"/>
    <x v="5"/>
  </r>
  <r>
    <x v="8"/>
    <x v="2"/>
    <x v="0"/>
    <x v="0"/>
    <x v="3"/>
    <x v="0"/>
    <x v="8"/>
    <x v="3"/>
    <n v="79"/>
    <n v="1.1000000000000001"/>
    <x v="7"/>
    <n v="75.599999999999994"/>
    <x v="6"/>
  </r>
  <r>
    <x v="9"/>
    <x v="0"/>
    <x v="0"/>
    <x v="0"/>
    <x v="1"/>
    <x v="0"/>
    <x v="9"/>
    <x v="1"/>
    <n v="79"/>
    <n v="16.489999999999998"/>
    <x v="8"/>
    <n v="61.32"/>
    <x v="5"/>
  </r>
  <r>
    <x v="10"/>
    <x v="1"/>
    <x v="0"/>
    <x v="0"/>
    <x v="1"/>
    <x v="0"/>
    <x v="10"/>
    <x v="7"/>
    <n v="92"/>
    <n v="14.43"/>
    <x v="7"/>
    <n v="82.26"/>
    <x v="6"/>
  </r>
  <r>
    <x v="11"/>
    <x v="2"/>
    <x v="0"/>
    <x v="0"/>
    <x v="3"/>
    <x v="0"/>
    <x v="11"/>
    <x v="3"/>
    <n v="28"/>
    <n v="14.85"/>
    <x v="8"/>
    <n v="58.72"/>
    <x v="6"/>
  </r>
  <r>
    <x v="12"/>
    <x v="1"/>
    <x v="0"/>
    <x v="0"/>
    <x v="1"/>
    <x v="0"/>
    <x v="12"/>
    <x v="8"/>
    <n v="7"/>
    <n v="15.65"/>
    <x v="0"/>
    <n v="84.55"/>
    <x v="2"/>
  </r>
  <r>
    <x v="13"/>
    <x v="0"/>
    <x v="0"/>
    <x v="0"/>
    <x v="3"/>
    <x v="0"/>
    <x v="13"/>
    <x v="9"/>
    <n v="26"/>
    <n v="2.41"/>
    <x v="9"/>
    <n v="69.34"/>
    <x v="6"/>
  </r>
  <r>
    <x v="14"/>
    <x v="3"/>
    <x v="0"/>
    <x v="0"/>
    <x v="3"/>
    <x v="0"/>
    <x v="14"/>
    <x v="10"/>
    <n v="57"/>
    <n v="7.81"/>
    <x v="4"/>
    <n v="96.84"/>
    <x v="7"/>
  </r>
  <r>
    <x v="15"/>
    <x v="0"/>
    <x v="0"/>
    <x v="0"/>
    <x v="1"/>
    <x v="0"/>
    <x v="15"/>
    <x v="11"/>
    <n v="6"/>
    <n v="3.2"/>
    <x v="10"/>
    <n v="56.88"/>
    <x v="4"/>
  </r>
  <r>
    <x v="16"/>
    <x v="1"/>
    <x v="0"/>
    <x v="0"/>
    <x v="0"/>
    <x v="0"/>
    <x v="16"/>
    <x v="12"/>
    <n v="92"/>
    <n v="17.399999999999999"/>
    <x v="8"/>
    <n v="67.05"/>
    <x v="4"/>
  </r>
  <r>
    <x v="17"/>
    <x v="2"/>
    <x v="0"/>
    <x v="0"/>
    <x v="0"/>
    <x v="0"/>
    <x v="17"/>
    <x v="13"/>
    <n v="34"/>
    <n v="12.84"/>
    <x v="7"/>
    <n v="55.67"/>
    <x v="5"/>
  </r>
  <r>
    <x v="18"/>
    <x v="0"/>
    <x v="0"/>
    <x v="0"/>
    <x v="3"/>
    <x v="0"/>
    <x v="18"/>
    <x v="2"/>
    <n v="42"/>
    <n v="7.29"/>
    <x v="4"/>
    <n v="96.23"/>
    <x v="6"/>
  </r>
  <r>
    <x v="19"/>
    <x v="2"/>
    <x v="0"/>
    <x v="0"/>
    <x v="2"/>
    <x v="0"/>
    <x v="19"/>
    <x v="10"/>
    <n v="6"/>
    <n v="2.21"/>
    <x v="11"/>
    <n v="93.87"/>
    <x v="7"/>
  </r>
  <r>
    <x v="20"/>
    <x v="3"/>
    <x v="0"/>
    <x v="0"/>
    <x v="3"/>
    <x v="0"/>
    <x v="20"/>
    <x v="14"/>
    <n v="68"/>
    <n v="6.91"/>
    <x v="11"/>
    <n v="62.9"/>
    <x v="5"/>
  </r>
  <r>
    <x v="21"/>
    <x v="3"/>
    <x v="0"/>
    <x v="0"/>
    <x v="3"/>
    <x v="0"/>
    <x v="21"/>
    <x v="5"/>
    <n v="64"/>
    <n v="7.18"/>
    <x v="2"/>
    <n v="83"/>
    <x v="2"/>
  </r>
  <r>
    <x v="22"/>
    <x v="3"/>
    <x v="0"/>
    <x v="0"/>
    <x v="3"/>
    <x v="0"/>
    <x v="22"/>
    <x v="15"/>
    <n v="25"/>
    <n v="14.86"/>
    <x v="10"/>
    <n v="90.86"/>
    <x v="5"/>
  </r>
  <r>
    <x v="23"/>
    <x v="2"/>
    <x v="0"/>
    <x v="0"/>
    <x v="0"/>
    <x v="0"/>
    <x v="23"/>
    <x v="16"/>
    <n v="37"/>
    <n v="13.11"/>
    <x v="0"/>
    <n v="77.760000000000005"/>
    <x v="5"/>
  </r>
  <r>
    <x v="24"/>
    <x v="0"/>
    <x v="0"/>
    <x v="0"/>
    <x v="0"/>
    <x v="0"/>
    <x v="24"/>
    <x v="2"/>
    <n v="80"/>
    <n v="17.86"/>
    <x v="7"/>
    <n v="76.48"/>
    <x v="6"/>
  </r>
  <r>
    <x v="25"/>
    <x v="2"/>
    <x v="0"/>
    <x v="0"/>
    <x v="0"/>
    <x v="0"/>
    <x v="25"/>
    <x v="9"/>
    <n v="62"/>
    <n v="9.9700000000000006"/>
    <x v="9"/>
    <n v="62.09"/>
    <x v="2"/>
  </r>
  <r>
    <x v="26"/>
    <x v="2"/>
    <x v="0"/>
    <x v="0"/>
    <x v="3"/>
    <x v="0"/>
    <x v="26"/>
    <x v="14"/>
    <n v="26"/>
    <n v="3.27"/>
    <x v="9"/>
    <n v="54.66"/>
    <x v="5"/>
  </r>
  <r>
    <x v="27"/>
    <x v="0"/>
    <x v="0"/>
    <x v="0"/>
    <x v="2"/>
    <x v="0"/>
    <x v="27"/>
    <x v="17"/>
    <n v="93"/>
    <n v="14.55"/>
    <x v="7"/>
    <n v="94.86"/>
    <x v="7"/>
  </r>
  <r>
    <x v="28"/>
    <x v="3"/>
    <x v="0"/>
    <x v="0"/>
    <x v="0"/>
    <x v="0"/>
    <x v="28"/>
    <x v="0"/>
    <n v="53"/>
    <n v="15.45"/>
    <x v="6"/>
    <n v="95.02"/>
    <x v="7"/>
  </r>
  <r>
    <x v="29"/>
    <x v="3"/>
    <x v="0"/>
    <x v="0"/>
    <x v="1"/>
    <x v="0"/>
    <x v="29"/>
    <x v="17"/>
    <n v="95"/>
    <n v="11.66"/>
    <x v="0"/>
    <n v="81.66"/>
    <x v="4"/>
  </r>
  <r>
    <x v="30"/>
    <x v="0"/>
    <x v="0"/>
    <x v="0"/>
    <x v="1"/>
    <x v="0"/>
    <x v="30"/>
    <x v="9"/>
    <n v="63"/>
    <n v="15.65"/>
    <x v="4"/>
    <n v="66.95"/>
    <x v="2"/>
  </r>
  <r>
    <x v="31"/>
    <x v="2"/>
    <x v="0"/>
    <x v="1"/>
    <x v="1"/>
    <x v="0"/>
    <x v="31"/>
    <x v="12"/>
    <n v="46"/>
    <n v="10.38"/>
    <x v="8"/>
    <n v="67.459999999999994"/>
    <x v="2"/>
  </r>
  <r>
    <x v="32"/>
    <x v="2"/>
    <x v="0"/>
    <x v="1"/>
    <x v="3"/>
    <x v="0"/>
    <x v="32"/>
    <x v="5"/>
    <n v="96"/>
    <n v="10.93"/>
    <x v="6"/>
    <n v="86.3"/>
    <x v="4"/>
  </r>
  <r>
    <x v="33"/>
    <x v="3"/>
    <x v="0"/>
    <x v="1"/>
    <x v="1"/>
    <x v="0"/>
    <x v="33"/>
    <x v="18"/>
    <n v="64"/>
    <n v="9.1199999999999992"/>
    <x v="8"/>
    <n v="94.86"/>
    <x v="5"/>
  </r>
  <r>
    <x v="34"/>
    <x v="1"/>
    <x v="0"/>
    <x v="1"/>
    <x v="3"/>
    <x v="0"/>
    <x v="34"/>
    <x v="11"/>
    <n v="84"/>
    <n v="1.48"/>
    <x v="8"/>
    <n v="94.35"/>
    <x v="2"/>
  </r>
  <r>
    <x v="35"/>
    <x v="1"/>
    <x v="0"/>
    <x v="1"/>
    <x v="1"/>
    <x v="0"/>
    <x v="35"/>
    <x v="4"/>
    <n v="19"/>
    <n v="3.05"/>
    <x v="6"/>
    <n v="88.99"/>
    <x v="7"/>
  </r>
  <r>
    <x v="36"/>
    <x v="1"/>
    <x v="0"/>
    <x v="1"/>
    <x v="2"/>
    <x v="0"/>
    <x v="36"/>
    <x v="19"/>
    <n v="66"/>
    <n v="1.6"/>
    <x v="2"/>
    <n v="82.1"/>
    <x v="7"/>
  </r>
  <r>
    <x v="37"/>
    <x v="2"/>
    <x v="0"/>
    <x v="1"/>
    <x v="3"/>
    <x v="0"/>
    <x v="37"/>
    <x v="20"/>
    <n v="66"/>
    <n v="13.09"/>
    <x v="11"/>
    <n v="54.21"/>
    <x v="6"/>
  </r>
  <r>
    <x v="38"/>
    <x v="2"/>
    <x v="0"/>
    <x v="1"/>
    <x v="1"/>
    <x v="0"/>
    <x v="38"/>
    <x v="2"/>
    <n v="51"/>
    <n v="6.97"/>
    <x v="8"/>
    <n v="58.08"/>
    <x v="2"/>
  </r>
  <r>
    <x v="39"/>
    <x v="3"/>
    <x v="0"/>
    <x v="1"/>
    <x v="0"/>
    <x v="0"/>
    <x v="39"/>
    <x v="21"/>
    <n v="66"/>
    <n v="10.66"/>
    <x v="6"/>
    <n v="94.93"/>
    <x v="5"/>
  </r>
  <r>
    <x v="40"/>
    <x v="1"/>
    <x v="0"/>
    <x v="1"/>
    <x v="3"/>
    <x v="0"/>
    <x v="40"/>
    <x v="19"/>
    <n v="55"/>
    <n v="18.239999999999998"/>
    <x v="6"/>
    <n v="80.319999999999993"/>
    <x v="4"/>
  </r>
  <r>
    <x v="41"/>
    <x v="3"/>
    <x v="0"/>
    <x v="1"/>
    <x v="0"/>
    <x v="0"/>
    <x v="41"/>
    <x v="22"/>
    <n v="59"/>
    <n v="5.74"/>
    <x v="5"/>
    <n v="50.46"/>
    <x v="4"/>
  </r>
  <r>
    <x v="42"/>
    <x v="3"/>
    <x v="0"/>
    <x v="1"/>
    <x v="0"/>
    <x v="0"/>
    <x v="42"/>
    <x v="17"/>
    <n v="68"/>
    <n v="8.8000000000000007"/>
    <x v="12"/>
    <n v="55.07"/>
    <x v="5"/>
  </r>
  <r>
    <x v="43"/>
    <x v="3"/>
    <x v="0"/>
    <x v="1"/>
    <x v="0"/>
    <x v="0"/>
    <x v="43"/>
    <x v="12"/>
    <n v="7"/>
    <n v="15.36"/>
    <x v="2"/>
    <n v="83.18"/>
    <x v="3"/>
  </r>
  <r>
    <x v="44"/>
    <x v="0"/>
    <x v="0"/>
    <x v="1"/>
    <x v="0"/>
    <x v="0"/>
    <x v="44"/>
    <x v="23"/>
    <n v="55"/>
    <n v="5.35"/>
    <x v="10"/>
    <n v="50.25"/>
    <x v="6"/>
  </r>
  <r>
    <x v="45"/>
    <x v="1"/>
    <x v="0"/>
    <x v="1"/>
    <x v="1"/>
    <x v="0"/>
    <x v="45"/>
    <x v="4"/>
    <n v="11"/>
    <n v="2.46"/>
    <x v="12"/>
    <n v="58.04"/>
    <x v="4"/>
  </r>
  <r>
    <x v="46"/>
    <x v="1"/>
    <x v="0"/>
    <x v="1"/>
    <x v="1"/>
    <x v="0"/>
    <x v="46"/>
    <x v="6"/>
    <n v="25"/>
    <n v="6.51"/>
    <x v="12"/>
    <n v="77.44"/>
    <x v="2"/>
  </r>
  <r>
    <x v="47"/>
    <x v="0"/>
    <x v="0"/>
    <x v="1"/>
    <x v="3"/>
    <x v="0"/>
    <x v="47"/>
    <x v="14"/>
    <n v="77"/>
    <n v="4.0599999999999996"/>
    <x v="7"/>
    <n v="84.59"/>
    <x v="6"/>
  </r>
  <r>
    <x v="48"/>
    <x v="0"/>
    <x v="0"/>
    <x v="1"/>
    <x v="3"/>
    <x v="0"/>
    <x v="48"/>
    <x v="21"/>
    <n v="43"/>
    <n v="18.66"/>
    <x v="11"/>
    <n v="82.6"/>
    <x v="2"/>
  </r>
  <r>
    <x v="49"/>
    <x v="1"/>
    <x v="0"/>
    <x v="1"/>
    <x v="3"/>
    <x v="0"/>
    <x v="49"/>
    <x v="23"/>
    <n v="22"/>
    <n v="16.350000000000001"/>
    <x v="6"/>
    <n v="61.21"/>
    <x v="7"/>
  </r>
  <r>
    <x v="50"/>
    <x v="0"/>
    <x v="0"/>
    <x v="1"/>
    <x v="1"/>
    <x v="0"/>
    <x v="50"/>
    <x v="1"/>
    <n v="8"/>
    <n v="13.03"/>
    <x v="11"/>
    <n v="85.61"/>
    <x v="6"/>
  </r>
  <r>
    <x v="51"/>
    <x v="3"/>
    <x v="0"/>
    <x v="1"/>
    <x v="3"/>
    <x v="0"/>
    <x v="51"/>
    <x v="10"/>
    <n v="93"/>
    <n v="17.559999999999999"/>
    <x v="0"/>
    <n v="61.86"/>
    <x v="4"/>
  </r>
  <r>
    <x v="52"/>
    <x v="2"/>
    <x v="0"/>
    <x v="1"/>
    <x v="0"/>
    <x v="0"/>
    <x v="52"/>
    <x v="24"/>
    <n v="64"/>
    <n v="16.27"/>
    <x v="7"/>
    <n v="66.27"/>
    <x v="6"/>
  </r>
  <r>
    <x v="53"/>
    <x v="3"/>
    <x v="0"/>
    <x v="1"/>
    <x v="1"/>
    <x v="0"/>
    <x v="53"/>
    <x v="1"/>
    <n v="18"/>
    <n v="4.54"/>
    <x v="10"/>
    <n v="87.32"/>
    <x v="6"/>
  </r>
  <r>
    <x v="54"/>
    <x v="1"/>
    <x v="0"/>
    <x v="1"/>
    <x v="3"/>
    <x v="0"/>
    <x v="54"/>
    <x v="25"/>
    <n v="13"/>
    <n v="17.96"/>
    <x v="11"/>
    <n v="82.48"/>
    <x v="6"/>
  </r>
  <r>
    <x v="55"/>
    <x v="0"/>
    <x v="0"/>
    <x v="1"/>
    <x v="0"/>
    <x v="0"/>
    <x v="55"/>
    <x v="20"/>
    <n v="94"/>
    <n v="11.25"/>
    <x v="9"/>
    <n v="92.46"/>
    <x v="3"/>
  </r>
  <r>
    <x v="56"/>
    <x v="2"/>
    <x v="0"/>
    <x v="1"/>
    <x v="3"/>
    <x v="0"/>
    <x v="56"/>
    <x v="25"/>
    <n v="57"/>
    <n v="16.34"/>
    <x v="8"/>
    <n v="82.88"/>
    <x v="6"/>
  </r>
  <r>
    <x v="57"/>
    <x v="1"/>
    <x v="0"/>
    <x v="1"/>
    <x v="2"/>
    <x v="0"/>
    <x v="57"/>
    <x v="16"/>
    <n v="6"/>
    <n v="18.03"/>
    <x v="0"/>
    <n v="78.42"/>
    <x v="2"/>
  </r>
  <r>
    <x v="58"/>
    <x v="0"/>
    <x v="0"/>
    <x v="1"/>
    <x v="3"/>
    <x v="0"/>
    <x v="58"/>
    <x v="4"/>
    <n v="88"/>
    <n v="7.04"/>
    <x v="2"/>
    <n v="54.68"/>
    <x v="7"/>
  </r>
  <r>
    <x v="59"/>
    <x v="2"/>
    <x v="0"/>
    <x v="1"/>
    <x v="2"/>
    <x v="0"/>
    <x v="59"/>
    <x v="19"/>
    <n v="96"/>
    <n v="3.09"/>
    <x v="10"/>
    <n v="68.39"/>
    <x v="5"/>
  </r>
  <r>
    <x v="60"/>
    <x v="2"/>
    <x v="0"/>
    <x v="2"/>
    <x v="3"/>
    <x v="0"/>
    <x v="60"/>
    <x v="13"/>
    <n v="64"/>
    <n v="5.33"/>
    <x v="0"/>
    <n v="63.26"/>
    <x v="6"/>
  </r>
  <r>
    <x v="61"/>
    <x v="0"/>
    <x v="0"/>
    <x v="2"/>
    <x v="3"/>
    <x v="0"/>
    <x v="61"/>
    <x v="3"/>
    <n v="75"/>
    <n v="9.1199999999999992"/>
    <x v="8"/>
    <n v="62.2"/>
    <x v="4"/>
  </r>
  <r>
    <x v="62"/>
    <x v="2"/>
    <x v="0"/>
    <x v="2"/>
    <x v="1"/>
    <x v="0"/>
    <x v="62"/>
    <x v="18"/>
    <n v="48"/>
    <n v="16.54"/>
    <x v="7"/>
    <n v="98.65"/>
    <x v="6"/>
  </r>
  <r>
    <x v="63"/>
    <x v="1"/>
    <x v="0"/>
    <x v="2"/>
    <x v="1"/>
    <x v="0"/>
    <x v="63"/>
    <x v="9"/>
    <n v="12"/>
    <n v="17.350000000000001"/>
    <x v="8"/>
    <n v="69.650000000000006"/>
    <x v="4"/>
  </r>
  <r>
    <x v="64"/>
    <x v="0"/>
    <x v="0"/>
    <x v="2"/>
    <x v="2"/>
    <x v="0"/>
    <x v="64"/>
    <x v="1"/>
    <n v="51"/>
    <n v="1.1299999999999999"/>
    <x v="12"/>
    <n v="94.6"/>
    <x v="2"/>
  </r>
  <r>
    <x v="65"/>
    <x v="3"/>
    <x v="0"/>
    <x v="2"/>
    <x v="1"/>
    <x v="0"/>
    <x v="65"/>
    <x v="26"/>
    <n v="39"/>
    <n v="10.7"/>
    <x v="8"/>
    <n v="81.56"/>
    <x v="4"/>
  </r>
  <r>
    <x v="66"/>
    <x v="1"/>
    <x v="0"/>
    <x v="2"/>
    <x v="0"/>
    <x v="0"/>
    <x v="66"/>
    <x v="24"/>
    <n v="82"/>
    <n v="8.93"/>
    <x v="12"/>
    <n v="89.74"/>
    <x v="5"/>
  </r>
  <r>
    <x v="67"/>
    <x v="1"/>
    <x v="0"/>
    <x v="2"/>
    <x v="0"/>
    <x v="0"/>
    <x v="67"/>
    <x v="10"/>
    <n v="85"/>
    <n v="5.22"/>
    <x v="7"/>
    <n v="75.13"/>
    <x v="7"/>
  </r>
  <r>
    <x v="68"/>
    <x v="0"/>
    <x v="0"/>
    <x v="2"/>
    <x v="2"/>
    <x v="0"/>
    <x v="68"/>
    <x v="9"/>
    <n v="40"/>
    <n v="3.28"/>
    <x v="4"/>
    <n v="78.849999999999994"/>
    <x v="4"/>
  </r>
  <r>
    <x v="69"/>
    <x v="0"/>
    <x v="0"/>
    <x v="2"/>
    <x v="0"/>
    <x v="0"/>
    <x v="69"/>
    <x v="27"/>
    <n v="54"/>
    <n v="7.41"/>
    <x v="12"/>
    <n v="74.63"/>
    <x v="4"/>
  </r>
  <r>
    <x v="70"/>
    <x v="2"/>
    <x v="0"/>
    <x v="2"/>
    <x v="0"/>
    <x v="0"/>
    <x v="70"/>
    <x v="28"/>
    <n v="8"/>
    <n v="18.920000000000002"/>
    <x v="2"/>
    <n v="59.76"/>
    <x v="7"/>
  </r>
  <r>
    <x v="71"/>
    <x v="1"/>
    <x v="0"/>
    <x v="2"/>
    <x v="3"/>
    <x v="0"/>
    <x v="71"/>
    <x v="0"/>
    <n v="6"/>
    <n v="7.14"/>
    <x v="8"/>
    <n v="86.12"/>
    <x v="5"/>
  </r>
  <r>
    <x v="72"/>
    <x v="2"/>
    <x v="0"/>
    <x v="2"/>
    <x v="1"/>
    <x v="0"/>
    <x v="72"/>
    <x v="16"/>
    <n v="10"/>
    <n v="10.86"/>
    <x v="8"/>
    <n v="64.040000000000006"/>
    <x v="6"/>
  </r>
  <r>
    <x v="73"/>
    <x v="1"/>
    <x v="0"/>
    <x v="2"/>
    <x v="0"/>
    <x v="0"/>
    <x v="73"/>
    <x v="8"/>
    <n v="58"/>
    <n v="14.36"/>
    <x v="2"/>
    <n v="51.22"/>
    <x v="4"/>
  </r>
  <r>
    <x v="74"/>
    <x v="1"/>
    <x v="0"/>
    <x v="2"/>
    <x v="0"/>
    <x v="0"/>
    <x v="74"/>
    <x v="20"/>
    <n v="8"/>
    <n v="7.91"/>
    <x v="9"/>
    <n v="82.27"/>
    <x v="7"/>
  </r>
  <r>
    <x v="75"/>
    <x v="3"/>
    <x v="0"/>
    <x v="2"/>
    <x v="1"/>
    <x v="0"/>
    <x v="75"/>
    <x v="25"/>
    <n v="58"/>
    <n v="19.46"/>
    <x v="6"/>
    <n v="58.86"/>
    <x v="2"/>
  </r>
  <r>
    <x v="76"/>
    <x v="1"/>
    <x v="0"/>
    <x v="2"/>
    <x v="0"/>
    <x v="0"/>
    <x v="76"/>
    <x v="11"/>
    <n v="97"/>
    <n v="19.29"/>
    <x v="4"/>
    <n v="97.02"/>
    <x v="7"/>
  </r>
  <r>
    <x v="77"/>
    <x v="2"/>
    <x v="0"/>
    <x v="2"/>
    <x v="0"/>
    <x v="0"/>
    <x v="77"/>
    <x v="14"/>
    <n v="67"/>
    <n v="5.78"/>
    <x v="10"/>
    <n v="97.7"/>
    <x v="2"/>
  </r>
  <r>
    <x v="78"/>
    <x v="2"/>
    <x v="0"/>
    <x v="2"/>
    <x v="1"/>
    <x v="0"/>
    <x v="78"/>
    <x v="17"/>
    <n v="22"/>
    <n v="10.45"/>
    <x v="12"/>
    <n v="95.74"/>
    <x v="5"/>
  </r>
  <r>
    <x v="79"/>
    <x v="3"/>
    <x v="0"/>
    <x v="2"/>
    <x v="3"/>
    <x v="0"/>
    <x v="79"/>
    <x v="10"/>
    <n v="94"/>
    <n v="6.72"/>
    <x v="2"/>
    <n v="68.510000000000005"/>
    <x v="6"/>
  </r>
  <r>
    <x v="80"/>
    <x v="2"/>
    <x v="0"/>
    <x v="2"/>
    <x v="0"/>
    <x v="0"/>
    <x v="80"/>
    <x v="13"/>
    <n v="48"/>
    <n v="6.41"/>
    <x v="7"/>
    <n v="50.77"/>
    <x v="7"/>
  </r>
  <r>
    <x v="81"/>
    <x v="0"/>
    <x v="0"/>
    <x v="2"/>
    <x v="1"/>
    <x v="0"/>
    <x v="81"/>
    <x v="29"/>
    <n v="38"/>
    <n v="1.7"/>
    <x v="12"/>
    <n v="96.42"/>
    <x v="3"/>
  </r>
  <r>
    <x v="82"/>
    <x v="3"/>
    <x v="0"/>
    <x v="2"/>
    <x v="0"/>
    <x v="0"/>
    <x v="82"/>
    <x v="5"/>
    <n v="78"/>
    <n v="12.58"/>
    <x v="6"/>
    <n v="71.41"/>
    <x v="4"/>
  </r>
  <r>
    <x v="83"/>
    <x v="2"/>
    <x v="0"/>
    <x v="2"/>
    <x v="0"/>
    <x v="0"/>
    <x v="83"/>
    <x v="21"/>
    <n v="66"/>
    <n v="10.55"/>
    <x v="7"/>
    <n v="98.33"/>
    <x v="5"/>
  </r>
  <r>
    <x v="84"/>
    <x v="2"/>
    <x v="0"/>
    <x v="2"/>
    <x v="3"/>
    <x v="0"/>
    <x v="84"/>
    <x v="27"/>
    <n v="18"/>
    <n v="1.98"/>
    <x v="0"/>
    <n v="98.18"/>
    <x v="7"/>
  </r>
  <r>
    <x v="85"/>
    <x v="0"/>
    <x v="0"/>
    <x v="2"/>
    <x v="2"/>
    <x v="0"/>
    <x v="85"/>
    <x v="10"/>
    <n v="99"/>
    <n v="6.29"/>
    <x v="8"/>
    <n v="92.65"/>
    <x v="4"/>
  </r>
  <r>
    <x v="86"/>
    <x v="3"/>
    <x v="0"/>
    <x v="2"/>
    <x v="2"/>
    <x v="0"/>
    <x v="86"/>
    <x v="20"/>
    <n v="52"/>
    <n v="18.260000000000002"/>
    <x v="0"/>
    <n v="64.72"/>
    <x v="7"/>
  </r>
  <r>
    <x v="87"/>
    <x v="0"/>
    <x v="0"/>
    <x v="2"/>
    <x v="1"/>
    <x v="0"/>
    <x v="87"/>
    <x v="5"/>
    <n v="19"/>
    <n v="5.55"/>
    <x v="12"/>
    <n v="69.25"/>
    <x v="2"/>
  </r>
  <r>
    <x v="88"/>
    <x v="3"/>
    <x v="0"/>
    <x v="2"/>
    <x v="2"/>
    <x v="0"/>
    <x v="88"/>
    <x v="20"/>
    <n v="76"/>
    <n v="3.75"/>
    <x v="6"/>
    <n v="92.56"/>
    <x v="7"/>
  </r>
  <r>
    <x v="89"/>
    <x v="3"/>
    <x v="0"/>
    <x v="2"/>
    <x v="1"/>
    <x v="0"/>
    <x v="89"/>
    <x v="1"/>
    <n v="82"/>
    <n v="10.3"/>
    <x v="4"/>
    <n v="65.849999999999994"/>
    <x v="3"/>
  </r>
  <r>
    <x v="90"/>
    <x v="1"/>
    <x v="0"/>
    <x v="2"/>
    <x v="2"/>
    <x v="0"/>
    <x v="90"/>
    <x v="24"/>
    <n v="91"/>
    <n v="19.73"/>
    <x v="12"/>
    <n v="58.47"/>
    <x v="7"/>
  </r>
  <r>
    <x v="91"/>
    <x v="2"/>
    <x v="0"/>
    <x v="3"/>
    <x v="3"/>
    <x v="1"/>
    <x v="91"/>
    <x v="4"/>
    <n v="66"/>
    <n v="5.6"/>
    <x v="2"/>
    <n v="77.84"/>
    <x v="7"/>
  </r>
  <r>
    <x v="92"/>
    <x v="2"/>
    <x v="0"/>
    <x v="3"/>
    <x v="1"/>
    <x v="1"/>
    <x v="92"/>
    <x v="18"/>
    <n v="44"/>
    <n v="13.77"/>
    <x v="11"/>
    <n v="96.81"/>
    <x v="3"/>
  </r>
  <r>
    <x v="93"/>
    <x v="1"/>
    <x v="0"/>
    <x v="3"/>
    <x v="2"/>
    <x v="1"/>
    <x v="93"/>
    <x v="0"/>
    <n v="89"/>
    <n v="15.47"/>
    <x v="12"/>
    <n v="84.8"/>
    <x v="5"/>
  </r>
  <r>
    <x v="94"/>
    <x v="0"/>
    <x v="0"/>
    <x v="3"/>
    <x v="3"/>
    <x v="1"/>
    <x v="94"/>
    <x v="28"/>
    <n v="84"/>
    <n v="5.52"/>
    <x v="8"/>
    <n v="78.5"/>
    <x v="7"/>
  </r>
  <r>
    <x v="95"/>
    <x v="1"/>
    <x v="0"/>
    <x v="3"/>
    <x v="2"/>
    <x v="1"/>
    <x v="95"/>
    <x v="25"/>
    <n v="86"/>
    <n v="14.84"/>
    <x v="8"/>
    <n v="54.86"/>
    <x v="3"/>
  </r>
  <r>
    <x v="96"/>
    <x v="2"/>
    <x v="0"/>
    <x v="3"/>
    <x v="0"/>
    <x v="1"/>
    <x v="96"/>
    <x v="22"/>
    <n v="57"/>
    <n v="7.99"/>
    <x v="12"/>
    <n v="80.75"/>
    <x v="4"/>
  </r>
  <r>
    <x v="97"/>
    <x v="2"/>
    <x v="0"/>
    <x v="3"/>
    <x v="0"/>
    <x v="1"/>
    <x v="97"/>
    <x v="25"/>
    <n v="28"/>
    <n v="13.01"/>
    <x v="7"/>
    <n v="99.5"/>
    <x v="2"/>
  </r>
  <r>
    <x v="98"/>
    <x v="1"/>
    <x v="0"/>
    <x v="3"/>
    <x v="3"/>
    <x v="1"/>
    <x v="98"/>
    <x v="25"/>
    <n v="30"/>
    <n v="13.04"/>
    <x v="11"/>
    <n v="57"/>
    <x v="2"/>
  </r>
  <r>
    <x v="99"/>
    <x v="1"/>
    <x v="0"/>
    <x v="3"/>
    <x v="0"/>
    <x v="1"/>
    <x v="99"/>
    <x v="14"/>
    <n v="93"/>
    <n v="11.18"/>
    <x v="2"/>
    <n v="75.9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559EE3-6D28-4310-93F5-E0F68AC9A499}" name="Sales_by_Calls"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fieldListSortAscending="1">
  <location ref="XDW14:XEB115"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sortType="descending"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autoSortScope>
        <pivotArea dataOnly="0" outline="0" fieldPosition="0">
          <references count="1">
            <reference field="4294967294" count="1" selected="0">
              <x v="1"/>
            </reference>
          </references>
        </pivotArea>
      </autoSortScope>
    </pivotField>
    <pivotField dataField="1" compact="0" outline="0" subtotalTop="0" showAll="0" defaultSubtotal="0"/>
    <pivotField compact="0" outline="0" showAll="0" defaultSubtotal="0"/>
    <pivotField dataField="1" compact="0" outline="0" subtotalTop="0" showAll="0" defaultSubtotal="0"/>
    <pivotField compact="0" outline="0" subtotalTop="0" showAll="0" defaultSubtotal="0"/>
    <pivotField compact="0" outline="0" subtotalTop="0" showAll="0" defaultSubtotal="0"/>
  </pivotFields>
  <rowFields count="2">
    <field x="6"/>
    <field x="7"/>
  </rowFields>
  <rowItems count="101">
    <i>
      <x/>
      <x v="3"/>
    </i>
    <i>
      <x v="1"/>
      <x v="9"/>
    </i>
    <i>
      <x v="2"/>
      <x v="15"/>
    </i>
    <i>
      <x v="3"/>
      <x v="23"/>
    </i>
    <i>
      <x v="4"/>
      <x v="5"/>
    </i>
    <i>
      <x v="5"/>
      <x v="4"/>
    </i>
    <i>
      <x v="6"/>
      <x v="4"/>
    </i>
    <i>
      <x v="7"/>
      <x v="7"/>
    </i>
    <i>
      <x v="8"/>
      <x v="23"/>
    </i>
    <i>
      <x v="9"/>
      <x v="9"/>
    </i>
    <i>
      <x v="10"/>
      <x v="26"/>
    </i>
    <i>
      <x v="11"/>
      <x v="23"/>
    </i>
    <i>
      <x v="12"/>
      <x v="10"/>
    </i>
    <i>
      <x v="13"/>
      <x v="27"/>
    </i>
    <i>
      <x v="14"/>
      <x v="2"/>
    </i>
    <i>
      <x v="15"/>
      <x v="16"/>
    </i>
    <i>
      <x v="16"/>
      <x v="11"/>
    </i>
    <i>
      <x v="17"/>
      <x v="18"/>
    </i>
    <i>
      <x v="18"/>
      <x v="15"/>
    </i>
    <i>
      <x v="19"/>
      <x v="2"/>
    </i>
    <i>
      <x v="20"/>
      <x v="28"/>
    </i>
    <i>
      <x v="21"/>
      <x v="4"/>
    </i>
    <i>
      <x v="22"/>
      <x v="29"/>
    </i>
    <i>
      <x v="23"/>
      <x v="6"/>
    </i>
    <i>
      <x v="24"/>
      <x v="15"/>
    </i>
    <i>
      <x v="25"/>
      <x v="27"/>
    </i>
    <i>
      <x v="26"/>
      <x v="28"/>
    </i>
    <i>
      <x v="27"/>
      <x v="12"/>
    </i>
    <i>
      <x v="28"/>
      <x v="3"/>
    </i>
    <i>
      <x v="29"/>
      <x v="12"/>
    </i>
    <i>
      <x v="30"/>
      <x v="27"/>
    </i>
    <i>
      <x v="31"/>
      <x v="11"/>
    </i>
    <i>
      <x v="32"/>
      <x v="4"/>
    </i>
    <i>
      <x v="33"/>
      <x v="25"/>
    </i>
    <i>
      <x v="34"/>
      <x v="16"/>
    </i>
    <i>
      <x v="35"/>
      <x v="5"/>
    </i>
    <i>
      <x v="36"/>
      <x v="14"/>
    </i>
    <i>
      <x v="37"/>
      <x v="1"/>
    </i>
    <i>
      <x v="38"/>
      <x v="15"/>
    </i>
    <i>
      <x v="39"/>
      <x v="13"/>
    </i>
    <i>
      <x v="40"/>
      <x v="14"/>
    </i>
    <i>
      <x v="41"/>
      <x/>
    </i>
    <i>
      <x v="42"/>
      <x v="12"/>
    </i>
    <i>
      <x v="43"/>
      <x v="11"/>
    </i>
    <i>
      <x v="44"/>
      <x v="19"/>
    </i>
    <i>
      <x v="45"/>
      <x v="5"/>
    </i>
    <i>
      <x v="46"/>
      <x v="7"/>
    </i>
    <i>
      <x v="47"/>
      <x v="28"/>
    </i>
    <i>
      <x v="48"/>
      <x v="13"/>
    </i>
    <i>
      <x v="49"/>
      <x v="19"/>
    </i>
    <i>
      <x v="50"/>
      <x v="9"/>
    </i>
    <i>
      <x v="51"/>
      <x v="2"/>
    </i>
    <i>
      <x v="52"/>
      <x v="8"/>
    </i>
    <i>
      <x v="53"/>
      <x v="9"/>
    </i>
    <i>
      <x v="54"/>
      <x v="22"/>
    </i>
    <i>
      <x v="55"/>
      <x v="1"/>
    </i>
    <i>
      <x v="56"/>
      <x v="22"/>
    </i>
    <i>
      <x v="57"/>
      <x v="6"/>
    </i>
    <i>
      <x v="58"/>
      <x v="5"/>
    </i>
    <i>
      <x v="59"/>
      <x v="14"/>
    </i>
    <i>
      <x v="60"/>
      <x v="18"/>
    </i>
    <i>
      <x v="61"/>
      <x v="23"/>
    </i>
    <i>
      <x v="62"/>
      <x v="25"/>
    </i>
    <i>
      <x v="63"/>
      <x v="27"/>
    </i>
    <i>
      <x v="64"/>
      <x v="9"/>
    </i>
    <i>
      <x v="65"/>
      <x v="20"/>
    </i>
    <i>
      <x v="66"/>
      <x v="8"/>
    </i>
    <i>
      <x v="67"/>
      <x v="2"/>
    </i>
    <i>
      <x v="68"/>
      <x v="27"/>
    </i>
    <i>
      <x v="69"/>
      <x v="17"/>
    </i>
    <i>
      <x v="70"/>
      <x v="21"/>
    </i>
    <i>
      <x v="71"/>
      <x v="3"/>
    </i>
    <i>
      <x v="72"/>
      <x v="6"/>
    </i>
    <i>
      <x v="73"/>
      <x v="10"/>
    </i>
    <i>
      <x v="74"/>
      <x v="1"/>
    </i>
    <i>
      <x v="75"/>
      <x v="22"/>
    </i>
    <i>
      <x v="76"/>
      <x v="16"/>
    </i>
    <i>
      <x v="77"/>
      <x v="28"/>
    </i>
    <i>
      <x v="78"/>
      <x v="12"/>
    </i>
    <i>
      <x v="79"/>
      <x v="2"/>
    </i>
    <i>
      <x v="80"/>
      <x v="18"/>
    </i>
    <i>
      <x v="81"/>
      <x v="24"/>
    </i>
    <i>
      <x v="82"/>
      <x v="4"/>
    </i>
    <i>
      <x v="83"/>
      <x v="13"/>
    </i>
    <i>
      <x v="84"/>
      <x v="17"/>
    </i>
    <i>
      <x v="85"/>
      <x v="2"/>
    </i>
    <i>
      <x v="86"/>
      <x v="1"/>
    </i>
    <i>
      <x v="87"/>
      <x v="4"/>
    </i>
    <i>
      <x v="88"/>
      <x v="1"/>
    </i>
    <i>
      <x v="89"/>
      <x v="9"/>
    </i>
    <i>
      <x v="90"/>
      <x v="8"/>
    </i>
    <i>
      <x v="91"/>
      <x v="5"/>
    </i>
    <i>
      <x v="92"/>
      <x v="25"/>
    </i>
    <i>
      <x v="93"/>
      <x v="3"/>
    </i>
    <i>
      <x v="94"/>
      <x v="21"/>
    </i>
    <i>
      <x v="95"/>
      <x v="22"/>
    </i>
    <i>
      <x v="96"/>
      <x/>
    </i>
    <i>
      <x v="97"/>
      <x v="22"/>
    </i>
    <i>
      <x v="98"/>
      <x v="22"/>
    </i>
    <i>
      <x v="99"/>
      <x v="28"/>
    </i>
    <i t="grand">
      <x/>
    </i>
  </rowItems>
  <colFields count="1">
    <field x="-2"/>
  </colFields>
  <colItems count="4">
    <i>
      <x/>
    </i>
    <i i="1">
      <x v="1"/>
    </i>
    <i i="2">
      <x v="2"/>
    </i>
    <i i="3">
      <x v="3"/>
    </i>
  </colItems>
  <dataFields count="4">
    <dataField name="Sum of Calls Handled" fld="8" baseField="0" baseItem="0"/>
    <dataField name="Sum of Sales Count" fld="10" baseField="0" baseItem="0"/>
    <dataField name="Average of Calls Handled" fld="8" subtotal="average" baseField="0" baseItem="0"/>
    <dataField name="Average of Sales Count" fld="10" subtotal="average" baseField="0" baseItem="0"/>
  </dataFields>
  <conditionalFormats count="4">
    <conditionalFormat priority="16">
      <pivotAreas count="1">
        <pivotArea type="data" outline="0" collapsedLevelsAreSubtotals="1" fieldPosition="0">
          <references count="3">
            <reference field="4294967294" count="1" selected="0">
              <x v="3"/>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17">
      <pivotAreas count="1">
        <pivotArea type="data" outline="0" collapsedLevelsAreSubtotals="1" fieldPosition="0">
          <references count="3">
            <reference field="4294967294" count="1" selected="0">
              <x v="2"/>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18">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21">
      <pivotAreas count="1">
        <pivotArea type="data" outline="0" collapsedLevelsAreSubtotals="1" fieldPosition="0">
          <references count="3">
            <reference field="4294967294" count="1" selected="0">
              <x v="1"/>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DC8E34-99A6-448E-B3A1-0502E84AA3A9}" name="PivotTable4"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L27:O31"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compact="0" outline="0" subtotalTop="0" showAll="0" defaultSubtotal="0"/>
    <pivotField dataField="1" compact="0" outline="0" subtotalTop="0" showAll="0" defaultSubtotal="0"/>
    <pivotField compact="0" outline="0" subtotalTop="0" showAll="0" defaultSubtotal="0"/>
  </pivotFields>
  <rowFields count="2">
    <field x="6"/>
    <field x="7"/>
  </rowFields>
  <rowItems count="4">
    <i>
      <x v="41"/>
      <x/>
    </i>
    <i>
      <x v="44"/>
      <x v="19"/>
    </i>
    <i>
      <x v="80"/>
      <x v="18"/>
    </i>
    <i t="grand">
      <x/>
    </i>
  </rowItems>
  <colFields count="1">
    <field x="-2"/>
  </colFields>
  <colItems count="2">
    <i>
      <x/>
    </i>
    <i i="1">
      <x v="1"/>
    </i>
  </colItems>
  <dataFields count="2">
    <dataField name="Sum of CSAT %" fld="11" baseField="0" baseItem="0"/>
    <dataField name="Sum of Avg. Call Duration (min.)" fld="9" baseField="0" baseItem="0"/>
  </dataFields>
  <conditionalFormats count="1">
    <conditionalFormat priority="3">
      <pivotAreas count="1">
        <pivotArea type="data" outline="0" collapsedLevelsAreSubtotals="1" fieldPosition="0">
          <references count="3">
            <reference field="4294967294" count="1" selected="0">
              <x v="0"/>
            </reference>
            <reference field="6" count="3" selected="0">
              <x v="41"/>
              <x v="44"/>
              <x v="80"/>
            </reference>
            <reference field="7" count="3" selected="0">
              <x v="0"/>
              <x v="18"/>
              <x v="19"/>
            </reference>
          </references>
        </pivotArea>
      </pivotAreas>
    </conditionalFormat>
  </conditionalFormats>
  <pivotTableStyleInfo name="PivotStyleMedium2" showRowHeaders="0" showColHeaders="1" showRowStripes="0" showColStripes="0" showLastColumn="1"/>
  <filters count="1">
    <filter fld="6" type="count" evalOrder="-1" id="8"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BDE4A3-67DD-487D-B75C-8FBC1DFCE043}" name="Sales_Performance"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A14:E115"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items count="4">
        <item x="0"/>
        <item x="1"/>
        <item x="2"/>
        <item x="3"/>
      </items>
    </pivotField>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compact="0" outline="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
    <field x="6"/>
    <field x="7"/>
  </rowFields>
  <rowItems count="101">
    <i>
      <x/>
      <x v="3"/>
    </i>
    <i>
      <x v="1"/>
      <x v="9"/>
    </i>
    <i>
      <x v="2"/>
      <x v="15"/>
    </i>
    <i>
      <x v="3"/>
      <x v="23"/>
    </i>
    <i>
      <x v="4"/>
      <x v="5"/>
    </i>
    <i>
      <x v="5"/>
      <x v="4"/>
    </i>
    <i>
      <x v="6"/>
      <x v="4"/>
    </i>
    <i>
      <x v="7"/>
      <x v="7"/>
    </i>
    <i>
      <x v="8"/>
      <x v="23"/>
    </i>
    <i>
      <x v="9"/>
      <x v="9"/>
    </i>
    <i>
      <x v="10"/>
      <x v="26"/>
    </i>
    <i>
      <x v="11"/>
      <x v="23"/>
    </i>
    <i>
      <x v="12"/>
      <x v="10"/>
    </i>
    <i>
      <x v="13"/>
      <x v="27"/>
    </i>
    <i>
      <x v="14"/>
      <x v="2"/>
    </i>
    <i>
      <x v="15"/>
      <x v="16"/>
    </i>
    <i>
      <x v="16"/>
      <x v="11"/>
    </i>
    <i>
      <x v="17"/>
      <x v="18"/>
    </i>
    <i>
      <x v="18"/>
      <x v="15"/>
    </i>
    <i>
      <x v="19"/>
      <x v="2"/>
    </i>
    <i>
      <x v="20"/>
      <x v="28"/>
    </i>
    <i>
      <x v="21"/>
      <x v="4"/>
    </i>
    <i>
      <x v="22"/>
      <x v="29"/>
    </i>
    <i>
      <x v="23"/>
      <x v="6"/>
    </i>
    <i>
      <x v="24"/>
      <x v="15"/>
    </i>
    <i>
      <x v="25"/>
      <x v="27"/>
    </i>
    <i>
      <x v="26"/>
      <x v="28"/>
    </i>
    <i>
      <x v="27"/>
      <x v="12"/>
    </i>
    <i>
      <x v="28"/>
      <x v="3"/>
    </i>
    <i>
      <x v="29"/>
      <x v="12"/>
    </i>
    <i>
      <x v="30"/>
      <x v="27"/>
    </i>
    <i>
      <x v="31"/>
      <x v="11"/>
    </i>
    <i>
      <x v="32"/>
      <x v="4"/>
    </i>
    <i>
      <x v="33"/>
      <x v="25"/>
    </i>
    <i>
      <x v="34"/>
      <x v="16"/>
    </i>
    <i>
      <x v="35"/>
      <x v="5"/>
    </i>
    <i>
      <x v="36"/>
      <x v="14"/>
    </i>
    <i>
      <x v="37"/>
      <x v="1"/>
    </i>
    <i>
      <x v="38"/>
      <x v="15"/>
    </i>
    <i>
      <x v="39"/>
      <x v="13"/>
    </i>
    <i>
      <x v="40"/>
      <x v="14"/>
    </i>
    <i>
      <x v="41"/>
      <x/>
    </i>
    <i>
      <x v="42"/>
      <x v="12"/>
    </i>
    <i>
      <x v="43"/>
      <x v="11"/>
    </i>
    <i>
      <x v="44"/>
      <x v="19"/>
    </i>
    <i>
      <x v="45"/>
      <x v="5"/>
    </i>
    <i>
      <x v="46"/>
      <x v="7"/>
    </i>
    <i>
      <x v="47"/>
      <x v="28"/>
    </i>
    <i>
      <x v="48"/>
      <x v="13"/>
    </i>
    <i>
      <x v="49"/>
      <x v="19"/>
    </i>
    <i>
      <x v="50"/>
      <x v="9"/>
    </i>
    <i>
      <x v="51"/>
      <x v="2"/>
    </i>
    <i>
      <x v="52"/>
      <x v="8"/>
    </i>
    <i>
      <x v="53"/>
      <x v="9"/>
    </i>
    <i>
      <x v="54"/>
      <x v="22"/>
    </i>
    <i>
      <x v="55"/>
      <x v="1"/>
    </i>
    <i>
      <x v="56"/>
      <x v="22"/>
    </i>
    <i>
      <x v="57"/>
      <x v="6"/>
    </i>
    <i>
      <x v="58"/>
      <x v="5"/>
    </i>
    <i>
      <x v="59"/>
      <x v="14"/>
    </i>
    <i>
      <x v="60"/>
      <x v="18"/>
    </i>
    <i>
      <x v="61"/>
      <x v="23"/>
    </i>
    <i>
      <x v="62"/>
      <x v="25"/>
    </i>
    <i>
      <x v="63"/>
      <x v="27"/>
    </i>
    <i>
      <x v="64"/>
      <x v="9"/>
    </i>
    <i>
      <x v="65"/>
      <x v="20"/>
    </i>
    <i>
      <x v="66"/>
      <x v="8"/>
    </i>
    <i>
      <x v="67"/>
      <x v="2"/>
    </i>
    <i>
      <x v="68"/>
      <x v="27"/>
    </i>
    <i>
      <x v="69"/>
      <x v="17"/>
    </i>
    <i>
      <x v="70"/>
      <x v="21"/>
    </i>
    <i>
      <x v="71"/>
      <x v="3"/>
    </i>
    <i>
      <x v="72"/>
      <x v="6"/>
    </i>
    <i>
      <x v="73"/>
      <x v="10"/>
    </i>
    <i>
      <x v="74"/>
      <x v="1"/>
    </i>
    <i>
      <x v="75"/>
      <x v="22"/>
    </i>
    <i>
      <x v="76"/>
      <x v="16"/>
    </i>
    <i>
      <x v="77"/>
      <x v="28"/>
    </i>
    <i>
      <x v="78"/>
      <x v="12"/>
    </i>
    <i>
      <x v="79"/>
      <x v="2"/>
    </i>
    <i>
      <x v="80"/>
      <x v="18"/>
    </i>
    <i>
      <x v="81"/>
      <x v="24"/>
    </i>
    <i>
      <x v="82"/>
      <x v="4"/>
    </i>
    <i>
      <x v="83"/>
      <x v="13"/>
    </i>
    <i>
      <x v="84"/>
      <x v="17"/>
    </i>
    <i>
      <x v="85"/>
      <x v="2"/>
    </i>
    <i>
      <x v="86"/>
      <x v="1"/>
    </i>
    <i>
      <x v="87"/>
      <x v="4"/>
    </i>
    <i>
      <x v="88"/>
      <x v="1"/>
    </i>
    <i>
      <x v="89"/>
      <x v="9"/>
    </i>
    <i>
      <x v="90"/>
      <x v="8"/>
    </i>
    <i>
      <x v="91"/>
      <x v="5"/>
    </i>
    <i>
      <x v="92"/>
      <x v="25"/>
    </i>
    <i>
      <x v="93"/>
      <x v="3"/>
    </i>
    <i>
      <x v="94"/>
      <x v="21"/>
    </i>
    <i>
      <x v="95"/>
      <x v="22"/>
    </i>
    <i>
      <x v="96"/>
      <x/>
    </i>
    <i>
      <x v="97"/>
      <x v="22"/>
    </i>
    <i>
      <x v="98"/>
      <x v="22"/>
    </i>
    <i>
      <x v="99"/>
      <x v="28"/>
    </i>
    <i t="grand">
      <x/>
    </i>
  </rowItems>
  <colFields count="1">
    <field x="-2"/>
  </colFields>
  <colItems count="3">
    <i>
      <x/>
    </i>
    <i i="1">
      <x v="1"/>
    </i>
    <i i="2">
      <x v="2"/>
    </i>
  </colItems>
  <dataFields count="3">
    <dataField name="Sum of Sales Count" fld="10" baseField="0" baseItem="0"/>
    <dataField name="Sum of Escalation Count" fld="12" baseField="0" baseItem="0"/>
    <dataField name="Sum of CSAT %" fld="11" baseField="0" baseItem="0"/>
  </dataFields>
  <conditionalFormats count="3">
    <conditionalFormat priority="23">
      <pivotAreas count="1">
        <pivotArea type="data" outline="0" collapsedLevelsAreSubtotals="1" fieldPosition="0">
          <references count="3">
            <reference field="4294967294" count="1" selected="0">
              <x v="2"/>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24">
      <pivotAreas count="1">
        <pivotArea type="data" outline="0" collapsedLevelsAreSubtotals="1" fieldPosition="0">
          <references count="3">
            <reference field="4294967294" count="1" selected="0">
              <x v="1"/>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25">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320BCC-C582-4340-A728-A0D9354D7650}" name="PivotTable3"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L14:O18"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compact="0" outline="0" subtotalTop="0" showAll="0" defaultSubtotal="0"/>
    <pivotField compact="0" outline="0" subtotalTop="0" showAll="0" defaultSubtotal="0"/>
    <pivotField dataField="1" compact="0" outline="0" subtotalTop="0" showAll="0" defaultSubtotal="0"/>
  </pivotFields>
  <rowFields count="2">
    <field x="6"/>
    <field x="7"/>
  </rowFields>
  <rowItems count="4">
    <i>
      <x/>
      <x v="3"/>
    </i>
    <i>
      <x v="1"/>
      <x v="9"/>
    </i>
    <i>
      <x v="2"/>
      <x v="15"/>
    </i>
    <i t="grand">
      <x/>
    </i>
  </rowItems>
  <colFields count="1">
    <field x="-2"/>
  </colFields>
  <colItems count="2">
    <i>
      <x/>
    </i>
    <i i="1">
      <x v="1"/>
    </i>
  </colItems>
  <dataFields count="2">
    <dataField name="Sum of Escalation Count" fld="12" baseField="0" baseItem="0"/>
    <dataField name="Sum of Avg. Call Duration (min.)" fld="9" baseField="0" baseItem="0"/>
  </dataFields>
  <conditionalFormats count="1">
    <conditionalFormat priority="4">
      <pivotAreas count="1">
        <pivotArea type="data" outline="0" collapsedLevelsAreSubtotals="1" fieldPosition="0">
          <references count="3">
            <reference field="4294967294" count="1" selected="0">
              <x v="0"/>
            </reference>
            <reference field="6" count="3" selected="0">
              <x v="0"/>
              <x v="1"/>
              <x v="2"/>
            </reference>
            <reference field="7" count="3" selected="0">
              <x v="3"/>
              <x v="9"/>
              <x v="15"/>
            </reference>
          </references>
        </pivotArea>
      </pivotAreas>
    </conditionalFormat>
  </conditionalFormats>
  <pivotTableStyleInfo name="PivotStyleMedium2" showRowHeaders="0" showColHeaders="1" showRowStripes="0" showColStripes="0" showLastColumn="1"/>
  <filters count="1">
    <filter fld="6" type="count" evalOrder="-1" id="7"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1829F3-88F2-4D7D-B498-DF596F9C92FA}" name="PivotTable2"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G27:J31"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compact="0" outline="0" subtotalTop="0" showAll="0" defaultSubtotal="0"/>
    <pivotField dataField="1" compact="0" outline="0" subtotalTop="0" showAll="0" defaultSubtotal="0"/>
    <pivotField compact="0" outline="0" subtotalTop="0" showAll="0" defaultSubtotal="0"/>
  </pivotFields>
  <rowFields count="2">
    <field x="6"/>
    <field x="7"/>
  </rowFields>
  <rowItems count="4">
    <i>
      <x v="1"/>
      <x v="9"/>
    </i>
    <i>
      <x v="2"/>
      <x v="15"/>
    </i>
    <i>
      <x v="3"/>
      <x v="23"/>
    </i>
    <i t="grand">
      <x/>
    </i>
  </rowItems>
  <colFields count="1">
    <field x="-2"/>
  </colFields>
  <colItems count="2">
    <i>
      <x/>
    </i>
    <i i="1">
      <x v="1"/>
    </i>
  </colItems>
  <dataFields count="2">
    <dataField name="Sum of CSAT %" fld="11" baseField="0" baseItem="0"/>
    <dataField name="Sum of Avg. Call Duration (min.)" fld="9" baseField="0" baseItem="0"/>
  </dataFields>
  <conditionalFormats count="1">
    <conditionalFormat priority="8">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filters count="1">
    <filter fld="6" type="count" evalOrder="-1" id="7"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CCA3C3-B4CB-4BBA-9485-1FC4EA44E482}" name="PivotTable1"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G14:J19"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s>
  <rowFields count="2">
    <field x="6"/>
    <field x="7"/>
  </rowFields>
  <rowItems count="5">
    <i>
      <x v="1"/>
      <x v="9"/>
    </i>
    <i>
      <x v="3"/>
      <x v="23"/>
    </i>
    <i>
      <x v="6"/>
      <x v="4"/>
    </i>
    <i>
      <x v="41"/>
      <x/>
    </i>
    <i t="grand">
      <x/>
    </i>
  </rowItems>
  <colFields count="1">
    <field x="-2"/>
  </colFields>
  <colItems count="2">
    <i>
      <x/>
    </i>
    <i i="1">
      <x v="1"/>
    </i>
  </colItems>
  <dataFields count="2">
    <dataField name="Sum of Sales Count" fld="10" baseField="0" baseItem="0"/>
    <dataField name="Sum of Avg. Call Duration (min.)" fld="9" baseField="0" baseItem="0"/>
  </dataFields>
  <conditionalFormats count="1">
    <conditionalFormat priority="13">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filters count="1">
    <filter fld="6" type="count" evalOrder="-1" id="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DE984C-FA3D-4907-9288-1F08FF9236BE}" name="PivotTable7"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L4:O8" firstHeaderRow="0" firstDataRow="1" firstDataCol="1"/>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ubtotalTop="0" showAll="0" measureFilter="1" defaultSubtotal="0">
      <items count="4">
        <item x="0"/>
        <item x="1"/>
        <item x="2"/>
        <item x="3"/>
      </items>
    </pivotField>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dataField="1" compact="0" outline="0" subtotalTop="0" showAll="0" defaultSubtotal="0"/>
    <pivotField dataField="1" compact="0" outline="0" showAll="0" defaultSubtotal="0"/>
    <pivotField compact="0" outline="0" subtotalTop="0" showAll="0" defaultSubtotal="0"/>
    <pivotField dataField="1" compact="0" outline="0" subtotalTop="0" showAll="0" defaultSubtotal="0"/>
    <pivotField compact="0" outline="0" subtotalTop="0" showAll="0" defaultSubtotal="0"/>
  </pivotFields>
  <rowFields count="1">
    <field x="1"/>
  </rowFields>
  <rowItems count="4">
    <i>
      <x/>
    </i>
    <i>
      <x v="1"/>
    </i>
    <i>
      <x v="2"/>
    </i>
    <i t="grand">
      <x/>
    </i>
  </rowItems>
  <colFields count="1">
    <field x="-2"/>
  </colFields>
  <colItems count="3">
    <i>
      <x/>
    </i>
    <i i="1">
      <x v="1"/>
    </i>
    <i i="2">
      <x v="2"/>
    </i>
  </colItems>
  <dataFields count="3">
    <dataField name="Sum of Calls Handled" fld="8" baseField="0" baseItem="0"/>
    <dataField name="Sum of Avg. Call Duration (min.)" fld="9" baseField="0" baseItem="0"/>
    <dataField name="Sum of CSAT %" fld="11" baseField="0" baseItem="0"/>
  </dataFields>
  <conditionalFormats count="1">
    <conditionalFormat priority="1">
      <pivotAreas count="1">
        <pivotArea type="data" outline="0" collapsedLevelsAreSubtotals="1" fieldPosition="0">
          <references count="2">
            <reference field="4294967294" count="1" selected="0">
              <x v="2"/>
            </reference>
            <reference field="1" count="3" selected="0">
              <x v="0"/>
              <x v="1"/>
              <x v="2"/>
            </reference>
          </references>
        </pivotArea>
      </pivotAreas>
    </conditionalFormat>
  </conditionalFormats>
  <pivotTableStyleInfo name="PivotStyleMedium2" showRowHeaders="0" showColHeaders="1" showRowStripes="0" showColStripes="0" showLastColumn="1"/>
  <filters count="2">
    <filter fld="6" type="count" evalOrder="-1" id="22" iMeasureFld="2">
      <autoFilter ref="A1">
        <filterColumn colId="0">
          <top10 val="3" filterVal="3"/>
        </filterColumn>
      </autoFilter>
    </filter>
    <filter fld="1" type="count" evalOrder="-1" id="23" iMeasureFld="2">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5DBD9F0-725A-456A-AD17-F7288157F6AE}" name="PivotTable6"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Q14:U115" firstHeaderRow="0" firstDataRow="1" firstDataCol="3"/>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axis="axisRow" compact="0" outline="0" subtotalTop="0" showAll="0" defaultSubtotal="0">
      <items count="4">
        <item x="1"/>
        <item x="2"/>
        <item x="0"/>
        <item x="3"/>
      </items>
    </pivotField>
    <pivotField compact="0" outline="0" showAll="0" defaultSubtotal="0">
      <items count="2">
        <item x="0"/>
        <item x="1"/>
      </items>
    </pivotField>
    <pivotField axis="axisRow"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dataField="1" compact="0" outline="0" subtotalTop="0" showAll="0" defaultSubtotal="0"/>
    <pivotField dataField="1" compact="0" outline="0" showAll="0" defaultSubtotal="0"/>
    <pivotField compact="0" outline="0" subtotalTop="0" showAll="0" defaultSubtotal="0"/>
    <pivotField compact="0" outline="0" subtotalTop="0" showAll="0" defaultSubtotal="0"/>
    <pivotField compact="0" outline="0" subtotalTop="0" showAll="0" defaultSubtotal="0"/>
  </pivotFields>
  <rowFields count="3">
    <field x="6"/>
    <field x="7"/>
    <field x="4"/>
  </rowFields>
  <rowItems count="101">
    <i>
      <x/>
      <x v="3"/>
      <x v="2"/>
    </i>
    <i>
      <x v="1"/>
      <x v="9"/>
      <x/>
    </i>
    <i>
      <x v="2"/>
      <x v="15"/>
      <x v="2"/>
    </i>
    <i>
      <x v="3"/>
      <x v="23"/>
      <x v="2"/>
    </i>
    <i>
      <x v="4"/>
      <x v="5"/>
      <x v="1"/>
    </i>
    <i>
      <x v="5"/>
      <x v="4"/>
      <x v="2"/>
    </i>
    <i>
      <x v="6"/>
      <x v="4"/>
      <x/>
    </i>
    <i>
      <x v="7"/>
      <x v="7"/>
      <x v="1"/>
    </i>
    <i>
      <x v="8"/>
      <x v="23"/>
      <x v="3"/>
    </i>
    <i>
      <x v="9"/>
      <x v="9"/>
      <x/>
    </i>
    <i>
      <x v="10"/>
      <x v="26"/>
      <x/>
    </i>
    <i>
      <x v="11"/>
      <x v="23"/>
      <x v="3"/>
    </i>
    <i>
      <x v="12"/>
      <x v="10"/>
      <x/>
    </i>
    <i>
      <x v="13"/>
      <x v="27"/>
      <x v="3"/>
    </i>
    <i>
      <x v="14"/>
      <x v="2"/>
      <x v="3"/>
    </i>
    <i>
      <x v="15"/>
      <x v="16"/>
      <x/>
    </i>
    <i>
      <x v="16"/>
      <x v="11"/>
      <x v="2"/>
    </i>
    <i>
      <x v="17"/>
      <x v="18"/>
      <x v="2"/>
    </i>
    <i>
      <x v="18"/>
      <x v="15"/>
      <x v="3"/>
    </i>
    <i>
      <x v="19"/>
      <x v="2"/>
      <x v="1"/>
    </i>
    <i>
      <x v="20"/>
      <x v="28"/>
      <x v="3"/>
    </i>
    <i>
      <x v="21"/>
      <x v="4"/>
      <x v="3"/>
    </i>
    <i>
      <x v="22"/>
      <x v="29"/>
      <x v="3"/>
    </i>
    <i>
      <x v="23"/>
      <x v="6"/>
      <x v="2"/>
    </i>
    <i>
      <x v="24"/>
      <x v="15"/>
      <x v="2"/>
    </i>
    <i>
      <x v="25"/>
      <x v="27"/>
      <x v="2"/>
    </i>
    <i>
      <x v="26"/>
      <x v="28"/>
      <x v="3"/>
    </i>
    <i>
      <x v="27"/>
      <x v="12"/>
      <x v="1"/>
    </i>
    <i>
      <x v="28"/>
      <x v="3"/>
      <x v="2"/>
    </i>
    <i>
      <x v="29"/>
      <x v="12"/>
      <x/>
    </i>
    <i>
      <x v="30"/>
      <x v="27"/>
      <x/>
    </i>
    <i>
      <x v="31"/>
      <x v="11"/>
      <x/>
    </i>
    <i>
      <x v="32"/>
      <x v="4"/>
      <x v="3"/>
    </i>
    <i>
      <x v="33"/>
      <x v="25"/>
      <x/>
    </i>
    <i>
      <x v="34"/>
      <x v="16"/>
      <x v="3"/>
    </i>
    <i>
      <x v="35"/>
      <x v="5"/>
      <x/>
    </i>
    <i>
      <x v="36"/>
      <x v="14"/>
      <x v="1"/>
    </i>
    <i>
      <x v="37"/>
      <x v="1"/>
      <x v="3"/>
    </i>
    <i>
      <x v="38"/>
      <x v="15"/>
      <x/>
    </i>
    <i>
      <x v="39"/>
      <x v="13"/>
      <x v="2"/>
    </i>
    <i>
      <x v="40"/>
      <x v="14"/>
      <x v="3"/>
    </i>
    <i>
      <x v="41"/>
      <x/>
      <x v="2"/>
    </i>
    <i>
      <x v="42"/>
      <x v="12"/>
      <x v="2"/>
    </i>
    <i>
      <x v="43"/>
      <x v="11"/>
      <x v="2"/>
    </i>
    <i>
      <x v="44"/>
      <x v="19"/>
      <x v="2"/>
    </i>
    <i>
      <x v="45"/>
      <x v="5"/>
      <x/>
    </i>
    <i>
      <x v="46"/>
      <x v="7"/>
      <x/>
    </i>
    <i>
      <x v="47"/>
      <x v="28"/>
      <x v="3"/>
    </i>
    <i>
      <x v="48"/>
      <x v="13"/>
      <x v="3"/>
    </i>
    <i>
      <x v="49"/>
      <x v="19"/>
      <x v="3"/>
    </i>
    <i>
      <x v="50"/>
      <x v="9"/>
      <x/>
    </i>
    <i>
      <x v="51"/>
      <x v="2"/>
      <x v="3"/>
    </i>
    <i>
      <x v="52"/>
      <x v="8"/>
      <x v="2"/>
    </i>
    <i>
      <x v="53"/>
      <x v="9"/>
      <x/>
    </i>
    <i>
      <x v="54"/>
      <x v="22"/>
      <x v="3"/>
    </i>
    <i>
      <x v="55"/>
      <x v="1"/>
      <x v="2"/>
    </i>
    <i>
      <x v="56"/>
      <x v="22"/>
      <x v="3"/>
    </i>
    <i>
      <x v="57"/>
      <x v="6"/>
      <x v="1"/>
    </i>
    <i>
      <x v="58"/>
      <x v="5"/>
      <x v="3"/>
    </i>
    <i>
      <x v="59"/>
      <x v="14"/>
      <x v="1"/>
    </i>
    <i>
      <x v="60"/>
      <x v="18"/>
      <x v="3"/>
    </i>
    <i>
      <x v="61"/>
      <x v="23"/>
      <x v="3"/>
    </i>
    <i>
      <x v="62"/>
      <x v="25"/>
      <x/>
    </i>
    <i>
      <x v="63"/>
      <x v="27"/>
      <x/>
    </i>
    <i>
      <x v="64"/>
      <x v="9"/>
      <x v="1"/>
    </i>
    <i>
      <x v="65"/>
      <x v="20"/>
      <x/>
    </i>
    <i>
      <x v="66"/>
      <x v="8"/>
      <x v="2"/>
    </i>
    <i>
      <x v="67"/>
      <x v="2"/>
      <x v="2"/>
    </i>
    <i>
      <x v="68"/>
      <x v="27"/>
      <x v="1"/>
    </i>
    <i>
      <x v="69"/>
      <x v="17"/>
      <x v="2"/>
    </i>
    <i>
      <x v="70"/>
      <x v="21"/>
      <x v="2"/>
    </i>
    <i>
      <x v="71"/>
      <x v="3"/>
      <x v="3"/>
    </i>
    <i>
      <x v="72"/>
      <x v="6"/>
      <x/>
    </i>
    <i>
      <x v="73"/>
      <x v="10"/>
      <x v="2"/>
    </i>
    <i>
      <x v="74"/>
      <x v="1"/>
      <x v="2"/>
    </i>
    <i>
      <x v="75"/>
      <x v="22"/>
      <x/>
    </i>
    <i>
      <x v="76"/>
      <x v="16"/>
      <x v="2"/>
    </i>
    <i>
      <x v="77"/>
      <x v="28"/>
      <x v="2"/>
    </i>
    <i>
      <x v="78"/>
      <x v="12"/>
      <x/>
    </i>
    <i>
      <x v="79"/>
      <x v="2"/>
      <x v="3"/>
    </i>
    <i>
      <x v="80"/>
      <x v="18"/>
      <x v="2"/>
    </i>
    <i>
      <x v="81"/>
      <x v="24"/>
      <x/>
    </i>
    <i>
      <x v="82"/>
      <x v="4"/>
      <x v="2"/>
    </i>
    <i>
      <x v="83"/>
      <x v="13"/>
      <x v="2"/>
    </i>
    <i>
      <x v="84"/>
      <x v="17"/>
      <x v="3"/>
    </i>
    <i>
      <x v="85"/>
      <x v="2"/>
      <x v="1"/>
    </i>
    <i>
      <x v="86"/>
      <x v="1"/>
      <x v="1"/>
    </i>
    <i>
      <x v="87"/>
      <x v="4"/>
      <x/>
    </i>
    <i>
      <x v="88"/>
      <x v="1"/>
      <x v="1"/>
    </i>
    <i>
      <x v="89"/>
      <x v="9"/>
      <x/>
    </i>
    <i>
      <x v="90"/>
      <x v="8"/>
      <x v="1"/>
    </i>
    <i>
      <x v="91"/>
      <x v="5"/>
      <x v="3"/>
    </i>
    <i>
      <x v="92"/>
      <x v="25"/>
      <x/>
    </i>
    <i>
      <x v="93"/>
      <x v="3"/>
      <x v="1"/>
    </i>
    <i>
      <x v="94"/>
      <x v="21"/>
      <x v="3"/>
    </i>
    <i>
      <x v="95"/>
      <x v="22"/>
      <x v="1"/>
    </i>
    <i>
      <x v="96"/>
      <x/>
      <x v="2"/>
    </i>
    <i>
      <x v="97"/>
      <x v="22"/>
      <x v="2"/>
    </i>
    <i>
      <x v="98"/>
      <x v="22"/>
      <x v="3"/>
    </i>
    <i>
      <x v="99"/>
      <x v="28"/>
      <x v="2"/>
    </i>
    <i t="grand">
      <x/>
    </i>
  </rowItems>
  <colFields count="1">
    <field x="-2"/>
  </colFields>
  <colItems count="2">
    <i>
      <x/>
    </i>
    <i i="1">
      <x v="1"/>
    </i>
  </colItems>
  <dataFields count="2">
    <dataField name="Sum of Calls Handled" fld="8" baseField="0" baseItem="0"/>
    <dataField name="Sum of Avg. Call Duration (min.)" fld="9" baseField="0" baseItem="0"/>
  </dataFields>
  <conditionalFormats count="2">
    <conditionalFormat priority="5">
      <pivotAreas count="1">
        <pivotArea type="data" outline="0" collapsedLevelsAreSubtotals="1" fieldPosition="0">
          <references count="4">
            <reference field="4294967294" count="1" selected="0">
              <x v="0"/>
            </reference>
            <reference field="4" count="4" selected="0">
              <x v="0"/>
              <x v="1"/>
              <x v="2"/>
              <x v="3"/>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 priority="6">
      <pivotAreas count="1">
        <pivotArea type="data" outline="0" collapsedLevelsAreSubtotals="1" fieldPosition="0">
          <references count="4">
            <reference field="4294967294" count="1" selected="0">
              <x v="1"/>
            </reference>
            <reference field="4" count="4" selected="0">
              <x v="0"/>
              <x v="1"/>
              <x v="2"/>
              <x v="3"/>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339904B-B2B6-4641-B62F-FA32EA615DBC}" name="Sales_Toppers"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B3:D8" firstHeaderRow="1"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compact="0" outline="0" showAll="0" defaultSubtotal="0"/>
    <pivotField dataField="1" compact="0" outline="0" subtotalTop="0" showAll="0" defaultSubtotal="0"/>
    <pivotField compact="0" outline="0" subtotalTop="0" showAll="0" defaultSubtotal="0"/>
    <pivotField compact="0" outline="0" subtotalTop="0" showAll="0" defaultSubtotal="0"/>
  </pivotFields>
  <rowFields count="2">
    <field x="6"/>
    <field x="7"/>
  </rowFields>
  <rowItems count="5">
    <i>
      <x v="1"/>
      <x v="9"/>
    </i>
    <i>
      <x v="3"/>
      <x v="23"/>
    </i>
    <i>
      <x v="6"/>
      <x v="4"/>
    </i>
    <i>
      <x v="41"/>
      <x/>
    </i>
    <i t="grand">
      <x/>
    </i>
  </rowItems>
  <colItems count="1">
    <i/>
  </colItems>
  <dataFields count="1">
    <dataField name="Sum of Sales Count" fld="10" baseField="0" baseItem="0"/>
  </dataFields>
  <conditionalFormats count="1">
    <conditionalFormat priority="5">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filters count="1">
    <filter fld="6" type="count" evalOrder="-1" id="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80A3D3D-D11E-4715-BB69-BBC94E36D7AE}" name="CSAT_Outliers"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F14:I18"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compact="0" outline="0" subtotalTop="0" showAll="0" defaultSubtotal="0"/>
    <pivotField dataField="1" compact="0" outline="0" subtotalTop="0" showAll="0" defaultSubtotal="0"/>
    <pivotField compact="0" outline="0" subtotalTop="0" showAll="0" defaultSubtotal="0"/>
  </pivotFields>
  <rowFields count="2">
    <field x="6"/>
    <field x="7"/>
  </rowFields>
  <rowItems count="4">
    <i>
      <x v="41"/>
      <x/>
    </i>
    <i>
      <x v="44"/>
      <x v="19"/>
    </i>
    <i>
      <x v="80"/>
      <x v="18"/>
    </i>
    <i t="grand">
      <x/>
    </i>
  </rowItems>
  <colFields count="1">
    <field x="-2"/>
  </colFields>
  <colItems count="2">
    <i>
      <x/>
    </i>
    <i i="1">
      <x v="1"/>
    </i>
  </colItems>
  <dataFields count="2">
    <dataField name="CSAT % " fld="11" baseField="0" baseItem="0"/>
    <dataField name="Avg. Call Duration (minutes)" fld="9" baseField="7" baseItem="7"/>
  </dataFields>
  <formats count="1">
    <format dxfId="0">
      <pivotArea outline="0" fieldPosition="0">
        <references count="2">
          <reference field="6" count="3" selected="0">
            <x v="7"/>
            <x v="17"/>
            <x v="26"/>
          </reference>
          <reference field="7" count="3" selected="0">
            <x v="7"/>
            <x v="18"/>
            <x v="28"/>
          </reference>
        </references>
      </pivotArea>
    </format>
  </formats>
  <conditionalFormats count="2">
    <conditionalFormat priority="1">
      <pivotAreas count="1">
        <pivotArea type="data" outline="0" collapsedLevelsAreSubtotals="1" fieldPosition="0">
          <references count="3">
            <reference field="4294967294" count="1" selected="0">
              <x v="0"/>
            </reference>
            <reference field="6" count="3" selected="0">
              <x v="7"/>
              <x v="17"/>
              <x v="26"/>
            </reference>
            <reference field="7" count="3" selected="0">
              <x v="7"/>
              <x v="18"/>
              <x v="28"/>
            </reference>
          </references>
        </pivotArea>
      </pivotAreas>
    </conditionalFormat>
    <conditionalFormat priority="2">
      <pivotAreas count="1">
        <pivotArea type="data" outline="0" collapsedLevelsAreSubtotals="1" fieldPosition="0">
          <references count="3">
            <reference field="4294967294" count="1" selected="0">
              <x v="0"/>
            </reference>
            <reference field="6" count="3" selected="0">
              <x v="41"/>
              <x v="44"/>
              <x v="80"/>
            </reference>
            <reference field="7" count="3" selected="0">
              <x v="0"/>
              <x v="18"/>
              <x v="19"/>
            </reference>
          </references>
        </pivotArea>
      </pivotAreas>
    </conditionalFormat>
  </conditionalFormats>
  <pivotTableStyleInfo name="PivotStyleMedium2" showRowHeaders="0" showColHeaders="1" showRowStripes="0" showColStripes="0" showLastColumn="1"/>
  <filters count="1">
    <filter fld="6" type="count" evalOrder="-1" id="8"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2943E6-9141-427F-9A63-0508E43A7FE6}" name="Highest_Escalations"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F3:I7" firstHeaderRow="0"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dataField="1" compact="0" outline="0" showAll="0" defaultSubtotal="0"/>
    <pivotField compact="0" outline="0" subtotalTop="0" showAll="0" defaultSubtotal="0"/>
    <pivotField compact="0" outline="0" subtotalTop="0" showAll="0" defaultSubtotal="0"/>
    <pivotField dataField="1" compact="0" outline="0" subtotalTop="0" showAll="0" defaultSubtotal="0"/>
  </pivotFields>
  <rowFields count="2">
    <field x="6"/>
    <field x="7"/>
  </rowFields>
  <rowItems count="4">
    <i>
      <x/>
      <x v="3"/>
    </i>
    <i>
      <x v="1"/>
      <x v="9"/>
    </i>
    <i>
      <x v="2"/>
      <x v="15"/>
    </i>
    <i t="grand">
      <x/>
    </i>
  </rowItems>
  <colFields count="1">
    <field x="-2"/>
  </colFields>
  <colItems count="2">
    <i>
      <x/>
    </i>
    <i i="1">
      <x v="1"/>
    </i>
  </colItems>
  <dataFields count="2">
    <dataField name="Escalations " fld="12" baseField="0" baseItem="0"/>
    <dataField name="Avg. Call Duration (minutes)" fld="9" baseField="0" baseItem="0"/>
  </dataFields>
  <formats count="1">
    <format dxfId="1">
      <pivotArea outline="0" fieldPosition="0">
        <references count="2">
          <reference field="6" count="3" selected="0">
            <x v="0"/>
            <x v="1"/>
            <x v="2"/>
          </reference>
          <reference field="7" count="3" selected="0">
            <x v="3"/>
            <x v="9"/>
            <x v="15"/>
          </reference>
        </references>
      </pivotArea>
    </format>
  </formats>
  <conditionalFormats count="1">
    <conditionalFormat priority="3">
      <pivotAreas count="1">
        <pivotArea type="data" outline="0" collapsedLevelsAreSubtotals="1" fieldPosition="0">
          <references count="3">
            <reference field="4294967294" count="1" selected="0">
              <x v="0"/>
            </reference>
            <reference field="6" count="3" selected="0">
              <x v="0"/>
              <x v="1"/>
              <x v="2"/>
            </reference>
            <reference field="7" count="3" selected="0">
              <x v="3"/>
              <x v="9"/>
              <x v="15"/>
            </reference>
          </references>
        </pivotArea>
      </pivotAreas>
    </conditionalFormat>
  </conditionalFormats>
  <pivotTableStyleInfo name="PivotStyleMedium2" showRowHeaders="0" showColHeaders="1" showRowStripes="0" showColStripes="0" showLastColumn="1"/>
  <filters count="1">
    <filter fld="6" type="count" evalOrder="-1" id="7"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AC2F86D-77D6-4631-9461-CD317B37A501}" name="CSAT_Toppers" cacheId="0" applyNumberFormats="0" applyBorderFormats="0" applyFontFormats="0" applyPatternFormats="0" applyAlignmentFormats="0" applyWidthHeightFormats="1" dataCaption="Values" updatedVersion="8" minRefreshableVersion="5" itemPrintTitles="1" createdVersion="8" indent="0" compact="0" compactData="0" multipleFieldFilters="0" fieldListSortAscending="1">
  <location ref="B14:D18" firstHeaderRow="1" firstDataRow="1" firstDataCol="2"/>
  <pivotFields count="13">
    <pivotField compact="0" outline="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outline="0" subtotalTop="0" showAll="0" defaultSubtotal="0"/>
    <pivotField compact="0" outline="0" showAll="0" defaultSubtotal="0">
      <items count="1">
        <item x="0"/>
      </items>
    </pivotField>
    <pivotField compact="0" outline="0" showAll="0" defaultSubtotal="0">
      <items count="4">
        <item x="0"/>
        <item x="1"/>
        <item x="2"/>
        <item x="3"/>
      </items>
    </pivotField>
    <pivotField compact="0" outline="0" subtotalTop="0" showAll="0" defaultSubtotal="0"/>
    <pivotField compact="0" outline="0" showAll="0" defaultSubtotal="0">
      <items count="2">
        <item x="0"/>
        <item x="1"/>
      </items>
    </pivotField>
    <pivotField axis="axisRow" compact="0" outline="0" showAll="0" measureFilter="1"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axis="axisRow" compact="0" outline="0" showAll="0" defaultSubtotal="0">
      <items count="30">
        <item x="22"/>
        <item x="20"/>
        <item x="10"/>
        <item x="0"/>
        <item x="5"/>
        <item x="4"/>
        <item x="16"/>
        <item x="6"/>
        <item x="24"/>
        <item x="1"/>
        <item x="8"/>
        <item x="12"/>
        <item x="17"/>
        <item x="21"/>
        <item x="19"/>
        <item x="2"/>
        <item x="11"/>
        <item x="27"/>
        <item x="13"/>
        <item x="23"/>
        <item x="26"/>
        <item x="28"/>
        <item x="25"/>
        <item x="3"/>
        <item x="29"/>
        <item x="18"/>
        <item x="7"/>
        <item x="9"/>
        <item x="14"/>
        <item x="15"/>
      </items>
    </pivotField>
    <pivotField compact="0" outline="0" subtotalTop="0" showAll="0" defaultSubtotal="0"/>
    <pivotField compact="0" outline="0" showAll="0" defaultSubtotal="0"/>
    <pivotField compact="0" outline="0" subtotalTop="0" showAll="0" defaultSubtotal="0"/>
    <pivotField dataField="1" compact="0" outline="0" subtotalTop="0" showAll="0" defaultSubtotal="0"/>
    <pivotField compact="0" outline="0" subtotalTop="0" showAll="0" defaultSubtotal="0"/>
  </pivotFields>
  <rowFields count="2">
    <field x="6"/>
    <field x="7"/>
  </rowFields>
  <rowItems count="4">
    <i>
      <x v="1"/>
      <x v="9"/>
    </i>
    <i>
      <x v="2"/>
      <x v="15"/>
    </i>
    <i>
      <x v="3"/>
      <x v="23"/>
    </i>
    <i t="grand">
      <x/>
    </i>
  </rowItems>
  <colItems count="1">
    <i/>
  </colItems>
  <dataFields count="1">
    <dataField name="Sum of CSAT %" fld="11" baseField="0" baseItem="0"/>
  </dataFields>
  <conditionalFormats count="1">
    <conditionalFormat priority="4">
      <pivotAreas count="1">
        <pivotArea type="data" outline="0" collapsedLevelsAreSubtotals="1" fieldPosition="0">
          <references count="3">
            <reference field="4294967294" count="1" selected="0">
              <x v="0"/>
            </reference>
            <reference field="6" count="100"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 field="7" count="30" selected="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Medium2" showRowHeaders="0" showColHeaders="1" showRowStripes="0" showColStripes="0" showLastColumn="1"/>
  <filters count="1">
    <filter fld="6" type="count" evalOrder="-1" id="7"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0BD566F-576D-434E-A86F-347A5024230C}" sourceName="Year">
  <pivotTables>
    <pivotTable tabId="3" name="Sales_Performance"/>
    <pivotTable tabId="3" name="Sales_by_Calls"/>
    <pivotTable tabId="3" name="PivotTable1"/>
    <pivotTable tabId="3" name="PivotTable2"/>
    <pivotTable tabId="3" name="PivotTable3"/>
    <pivotTable tabId="3" name="PivotTable4"/>
    <pivotTable tabId="3" name="PivotTable6"/>
    <pivotTable tabId="3" name="PivotTable7"/>
    <pivotTable tabId="5" name="Sales_Toppers"/>
    <pivotTable tabId="5" name="CSAT_Toppers"/>
    <pivotTable tabId="5" name="Highest_Escalations"/>
    <pivotTable tabId="5" name="CSAT_Outliers"/>
  </pivotTables>
  <data>
    <tabular pivotCacheId="2048602689">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F82B32C-2DE7-42BC-BF33-1CF1851AA230}" sourceName="Month Name">
  <pivotTables>
    <pivotTable tabId="3" name="Sales_Performance"/>
    <pivotTable tabId="3" name="Sales_by_Calls"/>
    <pivotTable tabId="3" name="PivotTable1"/>
    <pivotTable tabId="3" name="PivotTable2"/>
    <pivotTable tabId="3" name="PivotTable3"/>
    <pivotTable tabId="3" name="PivotTable4"/>
    <pivotTable tabId="3" name="PivotTable6"/>
    <pivotTable tabId="3" name="PivotTable7"/>
    <pivotTable tabId="5" name="Sales_Toppers"/>
    <pivotTable tabId="5" name="CSAT_Toppers"/>
    <pivotTable tabId="5" name="Highest_Escalations"/>
    <pivotTable tabId="5" name="CSAT_Outliers"/>
  </pivotTables>
  <data>
    <tabular pivotCacheId="2048602689">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06B55BC3-1810-464F-BA7C-0092DB3CE6A2}" sourceName="Quarter">
  <pivotTables>
    <pivotTable tabId="3" name="Sales_Performance"/>
    <pivotTable tabId="3" name="Sales_by_Calls"/>
    <pivotTable tabId="3" name="PivotTable1"/>
    <pivotTable tabId="3" name="PivotTable2"/>
    <pivotTable tabId="3" name="PivotTable3"/>
    <pivotTable tabId="3" name="PivotTable4"/>
    <pivotTable tabId="3" name="PivotTable6"/>
    <pivotTable tabId="3" name="PivotTable7"/>
    <pivotTable tabId="5" name="Sales_Toppers"/>
    <pivotTable tabId="5" name="CSAT_Toppers"/>
    <pivotTable tabId="5" name="Highest_Escalations"/>
    <pivotTable tabId="5" name="CSAT_Outliers"/>
  </pivotTables>
  <data>
    <tabular pivotCacheId="204860268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66ED1F-3C93-4A74-A46A-FB0A7DC4AFEB}" sourceName="Region">
  <pivotTables>
    <pivotTable tabId="3" name="Sales_Performance"/>
  </pivotTables>
  <data>
    <tabular pivotCacheId="2048602689">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 xr10:uid="{3F9E50E6-B08E-4287-BB9F-8872E04EDA7B}" sourceName="Shift">
  <pivotTables>
    <pivotTable tabId="3" name="PivotTable6"/>
  </pivotTables>
  <data>
    <tabular pivotCacheId="2048602689">
      <items count="4">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B2A00F6-260B-4B1D-8D51-A0B269F6604D}" cache="Slicer_Year" caption="Year" columnCount="3" style="Slicer Style 1" rowHeight="241300"/>
  <slicer name="Month Name" xr10:uid="{03AFE9F8-AC1D-44F4-8CDE-89B518F0F89E}" cache="Slicer_Month_Name" caption="Month Name" style="Slicer Style 1" rowHeight="241300"/>
  <slicer name="Quarter" xr10:uid="{EC877DA7-28BD-43D4-951B-AE571FED03B2}" cache="Slicer_Quarter" caption="Quarter" columnCount="3" style="Slicer Style 1" rowHeight="241300"/>
  <slicer name="Region" xr10:uid="{F6756713-5763-427F-AB5E-FC8712C61CC5}" cache="Slicer_Region" caption="Filter by Region" columnCount="3" style="Slicer Style 1" rowHeight="241300"/>
  <slicer name="Shift" xr10:uid="{25ADB4A7-3272-408D-B1E4-4BEF70CD9EBD}" cache="Slicer_Shift" caption="Shift" columnCount="4"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E9EA8D-67BE-4E98-B7B2-4BA97D9ED2F7}" name="Raw_data_Master" displayName="Raw_data_Master" ref="A1:J106" totalsRowShown="0" headerRowDxfId="7" headerRowBorderDxfId="6" tableBorderDxfId="5">
  <autoFilter ref="A1:J106" xr:uid="{00000000-0001-0000-0000-000000000000}"/>
  <tableColumns count="10">
    <tableColumn id="1" xr3:uid="{45994C74-DBB1-407F-BF3C-39FC6BC5B9CD}" name="Agent ID"/>
    <tableColumn id="2" xr3:uid="{DA4AA8F6-664F-42AF-84CA-81A621798A70}" name="Agent Name"/>
    <tableColumn id="3" xr3:uid="{2FB8E036-3B58-4046-AE0C-16B45E1D8E90}" name="Region"/>
    <tableColumn id="4" xr3:uid="{94D2AA41-354E-4434-9D27-D5E8328B073E}" name="Shift"/>
    <tableColumn id="5" xr3:uid="{EE4AA2D9-329B-4105-A3B1-7C8FB32E1F23}" name="Date"/>
    <tableColumn id="6" xr3:uid="{FA5A9DF6-76D1-4C04-B965-F7ABB08758D3}" name="Calls Handled"/>
    <tableColumn id="7" xr3:uid="{47F20501-0502-4D52-9E74-68B5542C21B0}" name="Avg Call Duration (min)"/>
    <tableColumn id="8" xr3:uid="{AE4F44C3-3B6F-45C0-BA9B-6A9F7AC3ACEB}" name="Customer Satisfaction (%)"/>
    <tableColumn id="9" xr3:uid="{4B3A7B3B-7F76-446B-97B2-4310D141629B}" name="Sales Made"/>
    <tableColumn id="10" xr3:uid="{1A0A272F-EEDE-44AE-AB8A-BC04B1E14490}" name="Escalation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A233CE-E74A-44A8-AA59-79D293433DE0}" name="Mailing_List" displayName="Mailing_List" ref="A1:C31" totalsRowShown="0">
  <autoFilter ref="A1:C31" xr:uid="{BCA233CE-E74A-44A8-AA59-79D293433DE0}"/>
  <tableColumns count="3">
    <tableColumn id="1" xr3:uid="{61681AE2-DF17-456D-9B7C-F00E62733A1B}" name="Agent" dataDxfId="4"/>
    <tableColumn id="2" xr3:uid="{BCD71D93-C6B0-43BF-89E4-03491E3C635C}" name="Agent ID" dataDxfId="3"/>
    <tableColumn id="3" xr3:uid="{C3D1AC5E-36E7-4551-B277-3F56D6941597}" name="Email" dataDxfId="2"/>
  </tableColumns>
  <tableStyleInfo name="TableStyleLight8" showFirstColumn="0" showLastColumn="0" showRowStripes="0" showColumnStripes="1"/>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D170FA23-59F9-4F1C-830F-49C4DF766FCA}" sourceName="Date">
  <pivotTables>
    <pivotTable tabId="3" name="Sales_Performance"/>
    <pivotTable tabId="3" name="Sales_by_Calls"/>
    <pivotTable tabId="3" name="PivotTable1"/>
    <pivotTable tabId="3" name="PivotTable2"/>
    <pivotTable tabId="3" name="PivotTable3"/>
    <pivotTable tabId="3" name="PivotTable4"/>
    <pivotTable tabId="3" name="PivotTable6"/>
    <pivotTable tabId="3" name="PivotTable7"/>
    <pivotTable tabId="5" name="Sales_Toppers"/>
    <pivotTable tabId="5" name="CSAT_Toppers"/>
    <pivotTable tabId="5" name="Highest_Escalations"/>
    <pivotTable tabId="5" name="CSAT_Outliers"/>
  </pivotTables>
  <state minimalRefreshVersion="6" lastRefreshVersion="6" pivotCacheId="2048602689"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C12D70E-78D6-40D9-A9EE-3FBF322B8FF0}" cache="NativeTimeline_Date" caption="Period-Wise" showSelectionLabel="0" level="2" selectionLevel="2" scrollPosition="202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11/relationships/timeline" Target="../timelines/timeline1.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pivotTable" Target="../pivotTables/pivotTable11.xml"/><Relationship Id="rId7" Type="http://schemas.openxmlformats.org/officeDocument/2006/relationships/control" Target="../activeX/activeX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RAW"/>
  <dimension ref="A1:J106"/>
  <sheetViews>
    <sheetView workbookViewId="0">
      <selection activeCell="B1" sqref="B1"/>
    </sheetView>
  </sheetViews>
  <sheetFormatPr defaultRowHeight="15" x14ac:dyDescent="0.25"/>
  <cols>
    <col min="1" max="1" width="13.140625" bestFit="1" customWidth="1"/>
    <col min="2" max="2" width="21" bestFit="1" customWidth="1"/>
    <col min="3" max="3" width="11.7109375" bestFit="1" customWidth="1"/>
    <col min="4" max="4" width="10.140625" bestFit="1" customWidth="1"/>
    <col min="5" max="5" width="10.42578125" bestFit="1" customWidth="1"/>
    <col min="6" max="6" width="17.7109375" bestFit="1" customWidth="1"/>
    <col min="7" max="7" width="26.42578125" bestFit="1" customWidth="1"/>
    <col min="8" max="8" width="28.7109375" bestFit="1" customWidth="1"/>
    <col min="9" max="9" width="15.7109375" bestFit="1" customWidth="1"/>
    <col min="10" max="10" width="15.28515625" bestFit="1" customWidth="1"/>
  </cols>
  <sheetData>
    <row r="1" spans="1:10" x14ac:dyDescent="0.25">
      <c r="A1" s="1" t="s">
        <v>0</v>
      </c>
      <c r="B1" s="2" t="s">
        <v>1</v>
      </c>
      <c r="C1" s="1" t="s">
        <v>2</v>
      </c>
      <c r="D1" s="1" t="s">
        <v>3</v>
      </c>
      <c r="E1" s="1" t="s">
        <v>4</v>
      </c>
      <c r="F1" s="1" t="s">
        <v>5</v>
      </c>
      <c r="G1" s="1" t="s">
        <v>6</v>
      </c>
      <c r="H1" s="1" t="s">
        <v>7</v>
      </c>
      <c r="I1" s="1" t="s">
        <v>8</v>
      </c>
      <c r="J1" s="1" t="s">
        <v>9</v>
      </c>
    </row>
    <row r="2" spans="1:10" x14ac:dyDescent="0.25">
      <c r="A2" t="s">
        <v>10</v>
      </c>
      <c r="B2" t="s">
        <v>219</v>
      </c>
      <c r="C2" t="s">
        <v>110</v>
      </c>
      <c r="D2" t="s">
        <v>115</v>
      </c>
      <c r="E2" t="s">
        <v>119</v>
      </c>
      <c r="F2">
        <v>56</v>
      </c>
      <c r="G2">
        <v>6.34</v>
      </c>
      <c r="H2">
        <v>54.51</v>
      </c>
      <c r="I2">
        <v>1</v>
      </c>
      <c r="J2">
        <v>5</v>
      </c>
    </row>
    <row r="3" spans="1:10" x14ac:dyDescent="0.25">
      <c r="A3" t="s">
        <v>11</v>
      </c>
      <c r="B3" t="s">
        <v>220</v>
      </c>
      <c r="C3" t="s">
        <v>111</v>
      </c>
      <c r="D3" t="s">
        <v>116</v>
      </c>
      <c r="E3" t="s">
        <v>120</v>
      </c>
      <c r="F3">
        <v>97</v>
      </c>
      <c r="G3">
        <v>11.31</v>
      </c>
      <c r="H3">
        <v>91.77</v>
      </c>
      <c r="I3">
        <v>9</v>
      </c>
      <c r="J3">
        <v>5</v>
      </c>
    </row>
    <row r="4" spans="1:10" x14ac:dyDescent="0.25">
      <c r="A4" t="s">
        <v>12</v>
      </c>
      <c r="B4" t="s">
        <v>221</v>
      </c>
      <c r="C4" t="s">
        <v>112</v>
      </c>
      <c r="D4" t="s">
        <v>115</v>
      </c>
      <c r="E4" t="s">
        <v>121</v>
      </c>
      <c r="F4">
        <v>19</v>
      </c>
      <c r="G4">
        <v>3.68</v>
      </c>
      <c r="H4">
        <v>66.040000000000006</v>
      </c>
      <c r="I4">
        <v>0</v>
      </c>
      <c r="J4">
        <v>4</v>
      </c>
    </row>
    <row r="5" spans="1:10" x14ac:dyDescent="0.25">
      <c r="A5" t="s">
        <v>13</v>
      </c>
      <c r="B5" t="s">
        <v>222</v>
      </c>
      <c r="C5" t="s">
        <v>112</v>
      </c>
      <c r="D5" t="s">
        <v>115</v>
      </c>
      <c r="E5" t="s">
        <v>122</v>
      </c>
      <c r="F5">
        <v>76</v>
      </c>
      <c r="G5">
        <v>16.239999999999998</v>
      </c>
      <c r="H5">
        <v>59.33</v>
      </c>
      <c r="I5">
        <v>7</v>
      </c>
      <c r="J5">
        <v>1</v>
      </c>
    </row>
    <row r="6" spans="1:10" x14ac:dyDescent="0.25">
      <c r="A6" t="s">
        <v>14</v>
      </c>
      <c r="B6" t="s">
        <v>248</v>
      </c>
      <c r="C6" t="s">
        <v>112</v>
      </c>
      <c r="D6" t="s">
        <v>117</v>
      </c>
      <c r="E6" t="s">
        <v>123</v>
      </c>
      <c r="F6">
        <v>65</v>
      </c>
      <c r="G6">
        <v>2.42</v>
      </c>
      <c r="H6">
        <v>52.04</v>
      </c>
      <c r="I6">
        <v>0</v>
      </c>
      <c r="J6">
        <v>1</v>
      </c>
    </row>
    <row r="7" spans="1:10" x14ac:dyDescent="0.25">
      <c r="A7" t="s">
        <v>15</v>
      </c>
      <c r="B7" t="s">
        <v>223</v>
      </c>
      <c r="C7" t="s">
        <v>113</v>
      </c>
      <c r="D7" t="s">
        <v>115</v>
      </c>
      <c r="E7" t="s">
        <v>124</v>
      </c>
      <c r="F7">
        <v>25</v>
      </c>
      <c r="G7">
        <v>19.75</v>
      </c>
      <c r="H7">
        <v>79.540000000000006</v>
      </c>
      <c r="I7">
        <v>8</v>
      </c>
      <c r="J7">
        <v>5</v>
      </c>
    </row>
    <row r="8" spans="1:10" x14ac:dyDescent="0.25">
      <c r="A8" t="s">
        <v>16</v>
      </c>
      <c r="B8" t="s">
        <v>223</v>
      </c>
      <c r="C8" t="s">
        <v>114</v>
      </c>
      <c r="D8" t="s">
        <v>116</v>
      </c>
      <c r="E8" t="s">
        <v>125</v>
      </c>
      <c r="F8">
        <v>87</v>
      </c>
      <c r="G8">
        <v>15.67</v>
      </c>
      <c r="H8">
        <v>83.88</v>
      </c>
      <c r="I8">
        <v>10</v>
      </c>
      <c r="J8">
        <v>4</v>
      </c>
    </row>
    <row r="9" spans="1:10" x14ac:dyDescent="0.25">
      <c r="A9" t="s">
        <v>17</v>
      </c>
      <c r="B9" t="s">
        <v>224</v>
      </c>
      <c r="C9" t="s">
        <v>110</v>
      </c>
      <c r="D9" t="s">
        <v>117</v>
      </c>
      <c r="E9" t="s">
        <v>126</v>
      </c>
      <c r="F9">
        <v>91</v>
      </c>
      <c r="G9">
        <v>4.78</v>
      </c>
      <c r="H9">
        <v>50.83</v>
      </c>
      <c r="I9">
        <v>5</v>
      </c>
      <c r="J9">
        <v>3</v>
      </c>
    </row>
    <row r="10" spans="1:10" x14ac:dyDescent="0.25">
      <c r="A10" t="s">
        <v>18</v>
      </c>
      <c r="B10" t="s">
        <v>222</v>
      </c>
      <c r="C10" t="s">
        <v>112</v>
      </c>
      <c r="D10" t="s">
        <v>118</v>
      </c>
      <c r="E10" t="s">
        <v>127</v>
      </c>
      <c r="F10">
        <v>79</v>
      </c>
      <c r="G10">
        <v>1.1000000000000001</v>
      </c>
      <c r="H10">
        <v>75.599999999999994</v>
      </c>
      <c r="I10">
        <v>6</v>
      </c>
      <c r="J10">
        <v>1</v>
      </c>
    </row>
    <row r="11" spans="1:10" x14ac:dyDescent="0.25">
      <c r="A11" t="s">
        <v>19</v>
      </c>
      <c r="B11" t="s">
        <v>220</v>
      </c>
      <c r="C11" t="s">
        <v>110</v>
      </c>
      <c r="D11" t="s">
        <v>116</v>
      </c>
      <c r="E11" t="s">
        <v>128</v>
      </c>
      <c r="F11">
        <v>79</v>
      </c>
      <c r="G11">
        <v>16.489999999999998</v>
      </c>
      <c r="H11">
        <v>61.32</v>
      </c>
      <c r="I11">
        <v>9</v>
      </c>
      <c r="J11">
        <v>3</v>
      </c>
    </row>
    <row r="12" spans="1:10" x14ac:dyDescent="0.25">
      <c r="A12" t="s">
        <v>20</v>
      </c>
      <c r="B12" t="s">
        <v>225</v>
      </c>
      <c r="C12" t="s">
        <v>111</v>
      </c>
      <c r="D12" t="s">
        <v>116</v>
      </c>
      <c r="E12" t="s">
        <v>129</v>
      </c>
      <c r="F12">
        <v>92</v>
      </c>
      <c r="G12">
        <v>14.43</v>
      </c>
      <c r="H12">
        <v>82.26</v>
      </c>
      <c r="I12">
        <v>6</v>
      </c>
      <c r="J12">
        <v>1</v>
      </c>
    </row>
    <row r="13" spans="1:10" x14ac:dyDescent="0.25">
      <c r="A13" t="s">
        <v>21</v>
      </c>
      <c r="B13" t="s">
        <v>222</v>
      </c>
      <c r="C13" t="s">
        <v>112</v>
      </c>
      <c r="D13" t="s">
        <v>118</v>
      </c>
      <c r="E13" t="s">
        <v>130</v>
      </c>
      <c r="F13">
        <v>28</v>
      </c>
      <c r="G13">
        <v>14.85</v>
      </c>
      <c r="H13">
        <v>58.72</v>
      </c>
      <c r="I13">
        <v>9</v>
      </c>
      <c r="J13">
        <v>1</v>
      </c>
    </row>
    <row r="14" spans="1:10" x14ac:dyDescent="0.25">
      <c r="A14" t="s">
        <v>22</v>
      </c>
      <c r="B14" t="s">
        <v>226</v>
      </c>
      <c r="C14" t="s">
        <v>111</v>
      </c>
      <c r="D14" t="s">
        <v>116</v>
      </c>
      <c r="E14" t="s">
        <v>131</v>
      </c>
      <c r="F14">
        <v>7</v>
      </c>
      <c r="G14">
        <v>15.65</v>
      </c>
      <c r="H14">
        <v>84.55</v>
      </c>
      <c r="I14">
        <v>2</v>
      </c>
      <c r="J14">
        <v>2</v>
      </c>
    </row>
    <row r="15" spans="1:10" x14ac:dyDescent="0.25">
      <c r="A15" t="s">
        <v>23</v>
      </c>
      <c r="B15" t="s">
        <v>227</v>
      </c>
      <c r="C15" t="s">
        <v>110</v>
      </c>
      <c r="D15" t="s">
        <v>118</v>
      </c>
      <c r="E15" t="s">
        <v>132</v>
      </c>
      <c r="F15">
        <v>26</v>
      </c>
      <c r="G15">
        <v>2.41</v>
      </c>
      <c r="H15">
        <v>69.34</v>
      </c>
      <c r="I15">
        <v>1</v>
      </c>
      <c r="J15">
        <v>1</v>
      </c>
    </row>
    <row r="16" spans="1:10" x14ac:dyDescent="0.25">
      <c r="A16" t="s">
        <v>24</v>
      </c>
      <c r="B16" t="s">
        <v>228</v>
      </c>
      <c r="C16" t="s">
        <v>114</v>
      </c>
      <c r="D16" t="s">
        <v>118</v>
      </c>
      <c r="E16" t="s">
        <v>133</v>
      </c>
      <c r="F16">
        <v>57</v>
      </c>
      <c r="G16">
        <v>7.81</v>
      </c>
      <c r="H16">
        <v>96.84</v>
      </c>
      <c r="I16">
        <v>8</v>
      </c>
      <c r="J16">
        <v>0</v>
      </c>
    </row>
    <row r="17" spans="1:10" x14ac:dyDescent="0.25">
      <c r="A17" t="s">
        <v>25</v>
      </c>
      <c r="B17" t="s">
        <v>229</v>
      </c>
      <c r="C17" t="s">
        <v>110</v>
      </c>
      <c r="D17" t="s">
        <v>116</v>
      </c>
      <c r="E17" t="s">
        <v>134</v>
      </c>
      <c r="F17">
        <v>6</v>
      </c>
      <c r="G17">
        <v>3.2</v>
      </c>
      <c r="H17">
        <v>56.88</v>
      </c>
      <c r="I17">
        <v>7</v>
      </c>
      <c r="J17">
        <v>4</v>
      </c>
    </row>
    <row r="18" spans="1:10" x14ac:dyDescent="0.25">
      <c r="A18" t="s">
        <v>26</v>
      </c>
      <c r="B18" t="s">
        <v>230</v>
      </c>
      <c r="C18" t="s">
        <v>111</v>
      </c>
      <c r="D18" t="s">
        <v>115</v>
      </c>
      <c r="E18" t="s">
        <v>135</v>
      </c>
      <c r="F18">
        <v>92</v>
      </c>
      <c r="G18">
        <v>17.399999999999999</v>
      </c>
      <c r="H18">
        <v>67.05</v>
      </c>
      <c r="I18">
        <v>9</v>
      </c>
      <c r="J18">
        <v>4</v>
      </c>
    </row>
    <row r="19" spans="1:10" x14ac:dyDescent="0.25">
      <c r="A19" t="s">
        <v>27</v>
      </c>
      <c r="B19" t="s">
        <v>231</v>
      </c>
      <c r="C19" t="s">
        <v>112</v>
      </c>
      <c r="D19" t="s">
        <v>115</v>
      </c>
      <c r="E19" t="s">
        <v>136</v>
      </c>
      <c r="F19">
        <v>34</v>
      </c>
      <c r="G19">
        <v>12.84</v>
      </c>
      <c r="H19">
        <v>55.67</v>
      </c>
      <c r="I19">
        <v>6</v>
      </c>
      <c r="J19">
        <v>3</v>
      </c>
    </row>
    <row r="20" spans="1:10" x14ac:dyDescent="0.25">
      <c r="A20" t="s">
        <v>28</v>
      </c>
      <c r="B20" t="s">
        <v>221</v>
      </c>
      <c r="C20" t="s">
        <v>110</v>
      </c>
      <c r="D20" t="s">
        <v>118</v>
      </c>
      <c r="E20" t="s">
        <v>137</v>
      </c>
      <c r="F20">
        <v>42</v>
      </c>
      <c r="G20">
        <v>7.29</v>
      </c>
      <c r="H20">
        <v>96.23</v>
      </c>
      <c r="I20">
        <v>8</v>
      </c>
      <c r="J20">
        <v>1</v>
      </c>
    </row>
    <row r="21" spans="1:10" x14ac:dyDescent="0.25">
      <c r="A21" t="s">
        <v>29</v>
      </c>
      <c r="B21" t="s">
        <v>228</v>
      </c>
      <c r="C21" t="s">
        <v>112</v>
      </c>
      <c r="D21" t="s">
        <v>117</v>
      </c>
      <c r="E21" t="s">
        <v>138</v>
      </c>
      <c r="F21">
        <v>6</v>
      </c>
      <c r="G21">
        <v>2.21</v>
      </c>
      <c r="H21">
        <v>93.87</v>
      </c>
      <c r="I21">
        <v>3</v>
      </c>
      <c r="J21">
        <v>0</v>
      </c>
    </row>
    <row r="22" spans="1:10" x14ac:dyDescent="0.25">
      <c r="A22" t="s">
        <v>30</v>
      </c>
      <c r="B22" t="s">
        <v>232</v>
      </c>
      <c r="C22" t="s">
        <v>114</v>
      </c>
      <c r="D22" t="s">
        <v>118</v>
      </c>
      <c r="E22" t="s">
        <v>139</v>
      </c>
      <c r="F22">
        <v>68</v>
      </c>
      <c r="G22">
        <v>6.91</v>
      </c>
      <c r="H22">
        <v>62.9</v>
      </c>
      <c r="I22">
        <v>3</v>
      </c>
      <c r="J22">
        <v>3</v>
      </c>
    </row>
    <row r="23" spans="1:10" x14ac:dyDescent="0.25">
      <c r="A23" t="s">
        <v>31</v>
      </c>
      <c r="B23" t="s">
        <v>223</v>
      </c>
      <c r="C23" t="s">
        <v>114</v>
      </c>
      <c r="D23" t="s">
        <v>118</v>
      </c>
      <c r="E23" t="s">
        <v>140</v>
      </c>
      <c r="F23">
        <v>64</v>
      </c>
      <c r="G23">
        <v>7.18</v>
      </c>
      <c r="H23">
        <v>83</v>
      </c>
      <c r="I23">
        <v>0</v>
      </c>
      <c r="J23">
        <v>2</v>
      </c>
    </row>
    <row r="24" spans="1:10" x14ac:dyDescent="0.25">
      <c r="A24" t="s">
        <v>32</v>
      </c>
      <c r="B24" t="s">
        <v>233</v>
      </c>
      <c r="C24" t="s">
        <v>114</v>
      </c>
      <c r="D24" t="s">
        <v>118</v>
      </c>
      <c r="E24" t="s">
        <v>141</v>
      </c>
      <c r="F24">
        <v>25</v>
      </c>
      <c r="G24">
        <v>14.86</v>
      </c>
      <c r="H24">
        <v>90.86</v>
      </c>
      <c r="I24">
        <v>7</v>
      </c>
      <c r="J24">
        <v>3</v>
      </c>
    </row>
    <row r="25" spans="1:10" x14ac:dyDescent="0.25">
      <c r="A25" t="s">
        <v>33</v>
      </c>
      <c r="B25" t="s">
        <v>234</v>
      </c>
      <c r="C25" t="s">
        <v>112</v>
      </c>
      <c r="D25" t="s">
        <v>115</v>
      </c>
      <c r="E25" t="s">
        <v>142</v>
      </c>
      <c r="F25">
        <v>37</v>
      </c>
      <c r="G25">
        <v>13.11</v>
      </c>
      <c r="H25">
        <v>77.760000000000005</v>
      </c>
      <c r="I25">
        <v>2</v>
      </c>
      <c r="J25">
        <v>3</v>
      </c>
    </row>
    <row r="26" spans="1:10" x14ac:dyDescent="0.25">
      <c r="A26" t="s">
        <v>34</v>
      </c>
      <c r="B26" t="s">
        <v>221</v>
      </c>
      <c r="C26" t="s">
        <v>110</v>
      </c>
      <c r="D26" t="s">
        <v>115</v>
      </c>
      <c r="E26" t="s">
        <v>143</v>
      </c>
      <c r="F26">
        <v>80</v>
      </c>
      <c r="G26">
        <v>17.86</v>
      </c>
      <c r="H26">
        <v>76.48</v>
      </c>
      <c r="I26">
        <v>6</v>
      </c>
      <c r="J26">
        <v>1</v>
      </c>
    </row>
    <row r="27" spans="1:10" x14ac:dyDescent="0.25">
      <c r="A27" t="s">
        <v>35</v>
      </c>
      <c r="B27" t="s">
        <v>227</v>
      </c>
      <c r="C27" t="s">
        <v>112</v>
      </c>
      <c r="D27" t="s">
        <v>115</v>
      </c>
      <c r="E27" t="s">
        <v>144</v>
      </c>
      <c r="F27">
        <v>62</v>
      </c>
      <c r="G27">
        <v>9.9700000000000006</v>
      </c>
      <c r="H27">
        <v>62.09</v>
      </c>
      <c r="I27">
        <v>1</v>
      </c>
      <c r="J27">
        <v>2</v>
      </c>
    </row>
    <row r="28" spans="1:10" x14ac:dyDescent="0.25">
      <c r="A28" t="s">
        <v>36</v>
      </c>
      <c r="B28" t="s">
        <v>232</v>
      </c>
      <c r="C28" t="s">
        <v>112</v>
      </c>
      <c r="D28" t="s">
        <v>118</v>
      </c>
      <c r="E28" t="s">
        <v>145</v>
      </c>
      <c r="F28">
        <v>26</v>
      </c>
      <c r="G28">
        <v>3.27</v>
      </c>
      <c r="H28">
        <v>54.66</v>
      </c>
      <c r="I28">
        <v>1</v>
      </c>
      <c r="J28">
        <v>3</v>
      </c>
    </row>
    <row r="29" spans="1:10" x14ac:dyDescent="0.25">
      <c r="A29" t="s">
        <v>37</v>
      </c>
      <c r="B29" t="s">
        <v>235</v>
      </c>
      <c r="C29" t="s">
        <v>110</v>
      </c>
      <c r="D29" t="s">
        <v>117</v>
      </c>
      <c r="E29" t="s">
        <v>146</v>
      </c>
      <c r="F29">
        <v>93</v>
      </c>
      <c r="G29">
        <v>14.55</v>
      </c>
      <c r="H29">
        <v>94.86</v>
      </c>
      <c r="I29">
        <v>6</v>
      </c>
      <c r="J29">
        <v>0</v>
      </c>
    </row>
    <row r="30" spans="1:10" x14ac:dyDescent="0.25">
      <c r="A30" t="s">
        <v>38</v>
      </c>
      <c r="B30" t="s">
        <v>219</v>
      </c>
      <c r="C30" t="s">
        <v>114</v>
      </c>
      <c r="D30" t="s">
        <v>115</v>
      </c>
      <c r="E30" t="s">
        <v>147</v>
      </c>
      <c r="F30">
        <v>53</v>
      </c>
      <c r="G30">
        <v>15.45</v>
      </c>
      <c r="H30">
        <v>95.02</v>
      </c>
      <c r="I30">
        <v>5</v>
      </c>
      <c r="J30">
        <v>0</v>
      </c>
    </row>
    <row r="31" spans="1:10" x14ac:dyDescent="0.25">
      <c r="A31" t="s">
        <v>39</v>
      </c>
      <c r="B31" t="s">
        <v>235</v>
      </c>
      <c r="C31" t="s">
        <v>114</v>
      </c>
      <c r="D31" t="s">
        <v>116</v>
      </c>
      <c r="E31" t="s">
        <v>148</v>
      </c>
      <c r="F31">
        <v>95</v>
      </c>
      <c r="G31">
        <v>11.66</v>
      </c>
      <c r="H31">
        <v>81.66</v>
      </c>
      <c r="I31">
        <v>2</v>
      </c>
      <c r="J31">
        <v>4</v>
      </c>
    </row>
    <row r="32" spans="1:10" x14ac:dyDescent="0.25">
      <c r="A32" t="s">
        <v>40</v>
      </c>
      <c r="B32" t="s">
        <v>227</v>
      </c>
      <c r="C32" t="s">
        <v>110</v>
      </c>
      <c r="D32" t="s">
        <v>116</v>
      </c>
      <c r="E32" t="s">
        <v>149</v>
      </c>
      <c r="F32">
        <v>63</v>
      </c>
      <c r="G32">
        <v>15.65</v>
      </c>
      <c r="H32">
        <v>66.95</v>
      </c>
      <c r="I32">
        <v>8</v>
      </c>
      <c r="J32">
        <v>2</v>
      </c>
    </row>
    <row r="33" spans="1:10" x14ac:dyDescent="0.25">
      <c r="A33" t="s">
        <v>41</v>
      </c>
      <c r="B33" t="s">
        <v>230</v>
      </c>
      <c r="C33" t="s">
        <v>112</v>
      </c>
      <c r="D33" t="s">
        <v>116</v>
      </c>
      <c r="E33" t="s">
        <v>150</v>
      </c>
      <c r="F33">
        <v>46</v>
      </c>
      <c r="G33">
        <v>10.38</v>
      </c>
      <c r="H33">
        <v>67.459999999999994</v>
      </c>
      <c r="I33">
        <v>9</v>
      </c>
      <c r="J33">
        <v>2</v>
      </c>
    </row>
    <row r="34" spans="1:10" x14ac:dyDescent="0.25">
      <c r="A34" t="s">
        <v>42</v>
      </c>
      <c r="B34" t="s">
        <v>223</v>
      </c>
      <c r="C34" t="s">
        <v>112</v>
      </c>
      <c r="D34" t="s">
        <v>118</v>
      </c>
      <c r="E34" t="s">
        <v>151</v>
      </c>
      <c r="F34">
        <v>96</v>
      </c>
      <c r="G34">
        <v>10.93</v>
      </c>
      <c r="H34">
        <v>86.3</v>
      </c>
      <c r="I34">
        <v>5</v>
      </c>
      <c r="J34">
        <v>4</v>
      </c>
    </row>
    <row r="35" spans="1:10" x14ac:dyDescent="0.25">
      <c r="A35" t="s">
        <v>43</v>
      </c>
      <c r="B35" t="s">
        <v>236</v>
      </c>
      <c r="C35" t="s">
        <v>114</v>
      </c>
      <c r="D35" t="s">
        <v>116</v>
      </c>
      <c r="E35" t="s">
        <v>152</v>
      </c>
      <c r="F35">
        <v>64</v>
      </c>
      <c r="G35">
        <v>9.1199999999999992</v>
      </c>
      <c r="H35">
        <v>94.86</v>
      </c>
      <c r="I35">
        <v>9</v>
      </c>
      <c r="J35">
        <v>3</v>
      </c>
    </row>
    <row r="36" spans="1:10" x14ac:dyDescent="0.25">
      <c r="A36" t="s">
        <v>44</v>
      </c>
      <c r="B36" t="s">
        <v>229</v>
      </c>
      <c r="C36" t="s">
        <v>111</v>
      </c>
      <c r="D36" t="s">
        <v>118</v>
      </c>
      <c r="E36" t="s">
        <v>153</v>
      </c>
      <c r="F36">
        <v>84</v>
      </c>
      <c r="G36">
        <v>1.48</v>
      </c>
      <c r="H36">
        <v>94.35</v>
      </c>
      <c r="I36">
        <v>9</v>
      </c>
      <c r="J36">
        <v>2</v>
      </c>
    </row>
    <row r="37" spans="1:10" x14ac:dyDescent="0.25">
      <c r="A37" t="s">
        <v>45</v>
      </c>
      <c r="B37" t="s">
        <v>248</v>
      </c>
      <c r="C37" t="s">
        <v>111</v>
      </c>
      <c r="D37" t="s">
        <v>116</v>
      </c>
      <c r="E37" t="s">
        <v>154</v>
      </c>
      <c r="F37">
        <v>19</v>
      </c>
      <c r="G37">
        <v>3.05</v>
      </c>
      <c r="H37">
        <v>88.99</v>
      </c>
      <c r="I37">
        <v>5</v>
      </c>
      <c r="J37">
        <v>0</v>
      </c>
    </row>
    <row r="38" spans="1:10" x14ac:dyDescent="0.25">
      <c r="A38" t="s">
        <v>46</v>
      </c>
      <c r="B38" t="s">
        <v>237</v>
      </c>
      <c r="C38" t="s">
        <v>111</v>
      </c>
      <c r="D38" t="s">
        <v>117</v>
      </c>
      <c r="E38" t="s">
        <v>155</v>
      </c>
      <c r="F38">
        <v>66</v>
      </c>
      <c r="G38">
        <v>1.6</v>
      </c>
      <c r="H38">
        <v>82.1</v>
      </c>
      <c r="I38">
        <v>0</v>
      </c>
      <c r="J38">
        <v>0</v>
      </c>
    </row>
    <row r="39" spans="1:10" x14ac:dyDescent="0.25">
      <c r="A39" t="s">
        <v>47</v>
      </c>
      <c r="B39" t="s">
        <v>238</v>
      </c>
      <c r="C39" t="s">
        <v>112</v>
      </c>
      <c r="D39" t="s">
        <v>118</v>
      </c>
      <c r="E39" t="s">
        <v>156</v>
      </c>
      <c r="F39">
        <v>66</v>
      </c>
      <c r="G39">
        <v>13.09</v>
      </c>
      <c r="H39">
        <v>54.21</v>
      </c>
      <c r="I39">
        <v>3</v>
      </c>
      <c r="J39">
        <v>1</v>
      </c>
    </row>
    <row r="40" spans="1:10" x14ac:dyDescent="0.25">
      <c r="A40" t="s">
        <v>48</v>
      </c>
      <c r="B40" t="s">
        <v>221</v>
      </c>
      <c r="C40" t="s">
        <v>112</v>
      </c>
      <c r="D40" t="s">
        <v>116</v>
      </c>
      <c r="E40" t="s">
        <v>157</v>
      </c>
      <c r="F40">
        <v>51</v>
      </c>
      <c r="G40">
        <v>6.97</v>
      </c>
      <c r="H40">
        <v>58.08</v>
      </c>
      <c r="I40">
        <v>9</v>
      </c>
      <c r="J40">
        <v>2</v>
      </c>
    </row>
    <row r="41" spans="1:10" x14ac:dyDescent="0.25">
      <c r="A41" t="s">
        <v>49</v>
      </c>
      <c r="B41" t="s">
        <v>239</v>
      </c>
      <c r="C41" t="s">
        <v>114</v>
      </c>
      <c r="D41" t="s">
        <v>115</v>
      </c>
      <c r="E41" t="s">
        <v>158</v>
      </c>
      <c r="F41">
        <v>66</v>
      </c>
      <c r="G41">
        <v>10.66</v>
      </c>
      <c r="H41">
        <v>94.93</v>
      </c>
      <c r="I41">
        <v>5</v>
      </c>
      <c r="J41">
        <v>3</v>
      </c>
    </row>
    <row r="42" spans="1:10" x14ac:dyDescent="0.25">
      <c r="A42" t="s">
        <v>50</v>
      </c>
      <c r="B42" t="s">
        <v>237</v>
      </c>
      <c r="C42" t="s">
        <v>111</v>
      </c>
      <c r="D42" t="s">
        <v>118</v>
      </c>
      <c r="E42" t="s">
        <v>159</v>
      </c>
      <c r="F42">
        <v>55</v>
      </c>
      <c r="G42">
        <v>18.239999999999998</v>
      </c>
      <c r="H42">
        <v>80.319999999999993</v>
      </c>
      <c r="I42">
        <v>5</v>
      </c>
      <c r="J42">
        <v>4</v>
      </c>
    </row>
    <row r="43" spans="1:10" x14ac:dyDescent="0.25">
      <c r="A43" t="s">
        <v>51</v>
      </c>
      <c r="B43" t="s">
        <v>240</v>
      </c>
      <c r="C43" t="s">
        <v>114</v>
      </c>
      <c r="D43" t="s">
        <v>115</v>
      </c>
      <c r="E43" t="s">
        <v>160</v>
      </c>
      <c r="F43">
        <v>59</v>
      </c>
      <c r="G43">
        <v>5.74</v>
      </c>
      <c r="H43">
        <v>50.46</v>
      </c>
      <c r="I43">
        <v>10</v>
      </c>
      <c r="J43">
        <v>4</v>
      </c>
    </row>
    <row r="44" spans="1:10" x14ac:dyDescent="0.25">
      <c r="A44" t="s">
        <v>52</v>
      </c>
      <c r="B44" t="s">
        <v>235</v>
      </c>
      <c r="C44" t="s">
        <v>114</v>
      </c>
      <c r="D44" t="s">
        <v>115</v>
      </c>
      <c r="E44" t="s">
        <v>161</v>
      </c>
      <c r="F44">
        <v>68</v>
      </c>
      <c r="G44">
        <v>8.8000000000000007</v>
      </c>
      <c r="H44">
        <v>55.07</v>
      </c>
      <c r="I44">
        <v>4</v>
      </c>
      <c r="J44">
        <v>3</v>
      </c>
    </row>
    <row r="45" spans="1:10" x14ac:dyDescent="0.25">
      <c r="A45" t="s">
        <v>53</v>
      </c>
      <c r="B45" t="s">
        <v>230</v>
      </c>
      <c r="C45" t="s">
        <v>114</v>
      </c>
      <c r="D45" t="s">
        <v>115</v>
      </c>
      <c r="E45" t="s">
        <v>162</v>
      </c>
      <c r="F45">
        <v>7</v>
      </c>
      <c r="G45">
        <v>15.36</v>
      </c>
      <c r="H45">
        <v>83.18</v>
      </c>
      <c r="I45">
        <v>0</v>
      </c>
      <c r="J45">
        <v>5</v>
      </c>
    </row>
    <row r="46" spans="1:10" x14ac:dyDescent="0.25">
      <c r="A46" t="s">
        <v>54</v>
      </c>
      <c r="B46" t="s">
        <v>241</v>
      </c>
      <c r="C46" t="s">
        <v>110</v>
      </c>
      <c r="D46" t="s">
        <v>115</v>
      </c>
      <c r="E46" t="s">
        <v>163</v>
      </c>
      <c r="F46">
        <v>55</v>
      </c>
      <c r="G46">
        <v>5.35</v>
      </c>
      <c r="H46">
        <v>50.25</v>
      </c>
      <c r="I46">
        <v>7</v>
      </c>
      <c r="J46">
        <v>1</v>
      </c>
    </row>
    <row r="47" spans="1:10" x14ac:dyDescent="0.25">
      <c r="A47" t="s">
        <v>55</v>
      </c>
      <c r="B47" t="s">
        <v>248</v>
      </c>
      <c r="C47" t="s">
        <v>111</v>
      </c>
      <c r="D47" t="s">
        <v>116</v>
      </c>
      <c r="E47" t="s">
        <v>164</v>
      </c>
      <c r="F47">
        <v>11</v>
      </c>
      <c r="G47">
        <v>2.46</v>
      </c>
      <c r="H47">
        <v>58.04</v>
      </c>
      <c r="I47">
        <v>4</v>
      </c>
      <c r="J47">
        <v>4</v>
      </c>
    </row>
    <row r="48" spans="1:10" x14ac:dyDescent="0.25">
      <c r="A48" t="s">
        <v>56</v>
      </c>
      <c r="B48" t="s">
        <v>224</v>
      </c>
      <c r="C48" t="s">
        <v>111</v>
      </c>
      <c r="D48" t="s">
        <v>116</v>
      </c>
      <c r="E48" t="s">
        <v>165</v>
      </c>
      <c r="F48">
        <v>25</v>
      </c>
      <c r="G48">
        <v>6.51</v>
      </c>
      <c r="H48">
        <v>77.44</v>
      </c>
      <c r="I48">
        <v>4</v>
      </c>
      <c r="J48">
        <v>2</v>
      </c>
    </row>
    <row r="49" spans="1:10" x14ac:dyDescent="0.25">
      <c r="A49" t="s">
        <v>57</v>
      </c>
      <c r="B49" t="s">
        <v>232</v>
      </c>
      <c r="C49" t="s">
        <v>110</v>
      </c>
      <c r="D49" t="s">
        <v>118</v>
      </c>
      <c r="E49" t="s">
        <v>166</v>
      </c>
      <c r="F49">
        <v>77</v>
      </c>
      <c r="G49">
        <v>4.0599999999999996</v>
      </c>
      <c r="H49">
        <v>84.59</v>
      </c>
      <c r="I49">
        <v>6</v>
      </c>
      <c r="J49">
        <v>1</v>
      </c>
    </row>
    <row r="50" spans="1:10" x14ac:dyDescent="0.25">
      <c r="A50" t="s">
        <v>58</v>
      </c>
      <c r="B50" t="s">
        <v>239</v>
      </c>
      <c r="C50" t="s">
        <v>110</v>
      </c>
      <c r="D50" t="s">
        <v>118</v>
      </c>
      <c r="E50" t="s">
        <v>167</v>
      </c>
      <c r="F50">
        <v>43</v>
      </c>
      <c r="G50">
        <v>18.66</v>
      </c>
      <c r="H50">
        <v>82.6</v>
      </c>
      <c r="I50">
        <v>3</v>
      </c>
      <c r="J50">
        <v>2</v>
      </c>
    </row>
    <row r="51" spans="1:10" x14ac:dyDescent="0.25">
      <c r="A51" t="s">
        <v>59</v>
      </c>
      <c r="B51" t="s">
        <v>241</v>
      </c>
      <c r="C51" t="s">
        <v>111</v>
      </c>
      <c r="D51" t="s">
        <v>118</v>
      </c>
      <c r="E51" t="s">
        <v>168</v>
      </c>
      <c r="F51">
        <v>22</v>
      </c>
      <c r="G51">
        <v>16.350000000000001</v>
      </c>
      <c r="H51">
        <v>61.21</v>
      </c>
      <c r="I51">
        <v>5</v>
      </c>
      <c r="J51">
        <v>0</v>
      </c>
    </row>
    <row r="52" spans="1:10" x14ac:dyDescent="0.25">
      <c r="A52" t="s">
        <v>60</v>
      </c>
      <c r="B52" t="s">
        <v>220</v>
      </c>
      <c r="C52" t="s">
        <v>110</v>
      </c>
      <c r="D52" t="s">
        <v>116</v>
      </c>
      <c r="E52" t="s">
        <v>169</v>
      </c>
      <c r="F52">
        <v>8</v>
      </c>
      <c r="G52">
        <v>13.03</v>
      </c>
      <c r="H52">
        <v>85.61</v>
      </c>
      <c r="I52">
        <v>3</v>
      </c>
      <c r="J52">
        <v>1</v>
      </c>
    </row>
    <row r="53" spans="1:10" x14ac:dyDescent="0.25">
      <c r="A53" t="s">
        <v>61</v>
      </c>
      <c r="B53" t="s">
        <v>228</v>
      </c>
      <c r="C53" t="s">
        <v>114</v>
      </c>
      <c r="D53" t="s">
        <v>118</v>
      </c>
      <c r="E53" t="s">
        <v>170</v>
      </c>
      <c r="F53">
        <v>93</v>
      </c>
      <c r="G53">
        <v>17.559999999999999</v>
      </c>
      <c r="H53">
        <v>61.86</v>
      </c>
      <c r="I53">
        <v>2</v>
      </c>
      <c r="J53">
        <v>4</v>
      </c>
    </row>
    <row r="54" spans="1:10" x14ac:dyDescent="0.25">
      <c r="A54" t="s">
        <v>62</v>
      </c>
      <c r="B54" t="s">
        <v>242</v>
      </c>
      <c r="C54" t="s">
        <v>112</v>
      </c>
      <c r="D54" t="s">
        <v>115</v>
      </c>
      <c r="E54" t="s">
        <v>171</v>
      </c>
      <c r="F54">
        <v>64</v>
      </c>
      <c r="G54">
        <v>16.27</v>
      </c>
      <c r="H54">
        <v>66.27</v>
      </c>
      <c r="I54">
        <v>6</v>
      </c>
      <c r="J54">
        <v>1</v>
      </c>
    </row>
    <row r="55" spans="1:10" x14ac:dyDescent="0.25">
      <c r="A55" t="s">
        <v>63</v>
      </c>
      <c r="B55" t="s">
        <v>220</v>
      </c>
      <c r="C55" t="s">
        <v>114</v>
      </c>
      <c r="D55" t="s">
        <v>116</v>
      </c>
      <c r="E55" t="s">
        <v>172</v>
      </c>
      <c r="F55">
        <v>18</v>
      </c>
      <c r="G55">
        <v>4.54</v>
      </c>
      <c r="H55">
        <v>87.32</v>
      </c>
      <c r="I55">
        <v>7</v>
      </c>
      <c r="J55">
        <v>1</v>
      </c>
    </row>
    <row r="56" spans="1:10" x14ac:dyDescent="0.25">
      <c r="A56" t="s">
        <v>64</v>
      </c>
      <c r="B56" t="s">
        <v>243</v>
      </c>
      <c r="C56" t="s">
        <v>111</v>
      </c>
      <c r="D56" t="s">
        <v>118</v>
      </c>
      <c r="E56" t="s">
        <v>173</v>
      </c>
      <c r="F56">
        <v>13</v>
      </c>
      <c r="G56">
        <v>17.96</v>
      </c>
      <c r="H56">
        <v>82.48</v>
      </c>
      <c r="I56">
        <v>3</v>
      </c>
      <c r="J56">
        <v>1</v>
      </c>
    </row>
    <row r="57" spans="1:10" x14ac:dyDescent="0.25">
      <c r="A57" t="s">
        <v>65</v>
      </c>
      <c r="B57" t="s">
        <v>238</v>
      </c>
      <c r="C57" t="s">
        <v>110</v>
      </c>
      <c r="D57" t="s">
        <v>115</v>
      </c>
      <c r="E57" t="s">
        <v>174</v>
      </c>
      <c r="F57">
        <v>94</v>
      </c>
      <c r="G57">
        <v>11.25</v>
      </c>
      <c r="H57">
        <v>92.46</v>
      </c>
      <c r="I57">
        <v>1</v>
      </c>
      <c r="J57">
        <v>5</v>
      </c>
    </row>
    <row r="58" spans="1:10" x14ac:dyDescent="0.25">
      <c r="A58" t="s">
        <v>66</v>
      </c>
      <c r="B58" t="s">
        <v>243</v>
      </c>
      <c r="C58" t="s">
        <v>112</v>
      </c>
      <c r="D58" t="s">
        <v>118</v>
      </c>
      <c r="E58" t="s">
        <v>175</v>
      </c>
      <c r="F58">
        <v>57</v>
      </c>
      <c r="G58">
        <v>16.34</v>
      </c>
      <c r="H58">
        <v>82.88</v>
      </c>
      <c r="I58">
        <v>9</v>
      </c>
      <c r="J58">
        <v>1</v>
      </c>
    </row>
    <row r="59" spans="1:10" x14ac:dyDescent="0.25">
      <c r="A59" t="s">
        <v>67</v>
      </c>
      <c r="B59" t="s">
        <v>234</v>
      </c>
      <c r="C59" t="s">
        <v>111</v>
      </c>
      <c r="D59" t="s">
        <v>117</v>
      </c>
      <c r="E59" t="s">
        <v>176</v>
      </c>
      <c r="F59">
        <v>6</v>
      </c>
      <c r="G59">
        <v>18.03</v>
      </c>
      <c r="H59">
        <v>78.42</v>
      </c>
      <c r="I59">
        <v>2</v>
      </c>
      <c r="J59">
        <v>2</v>
      </c>
    </row>
    <row r="60" spans="1:10" x14ac:dyDescent="0.25">
      <c r="A60" t="s">
        <v>68</v>
      </c>
      <c r="B60" t="s">
        <v>248</v>
      </c>
      <c r="C60" t="s">
        <v>110</v>
      </c>
      <c r="D60" t="s">
        <v>118</v>
      </c>
      <c r="E60" t="s">
        <v>177</v>
      </c>
      <c r="F60">
        <v>88</v>
      </c>
      <c r="G60">
        <v>7.04</v>
      </c>
      <c r="H60">
        <v>54.68</v>
      </c>
      <c r="I60">
        <v>0</v>
      </c>
      <c r="J60">
        <v>0</v>
      </c>
    </row>
    <row r="61" spans="1:10" x14ac:dyDescent="0.25">
      <c r="A61" t="s">
        <v>69</v>
      </c>
      <c r="B61" t="s">
        <v>237</v>
      </c>
      <c r="C61" t="s">
        <v>112</v>
      </c>
      <c r="D61" t="s">
        <v>117</v>
      </c>
      <c r="E61" t="s">
        <v>178</v>
      </c>
      <c r="F61">
        <v>96</v>
      </c>
      <c r="G61">
        <v>3.09</v>
      </c>
      <c r="H61">
        <v>68.39</v>
      </c>
      <c r="I61">
        <v>7</v>
      </c>
      <c r="J61">
        <v>3</v>
      </c>
    </row>
    <row r="62" spans="1:10" x14ac:dyDescent="0.25">
      <c r="A62" t="s">
        <v>70</v>
      </c>
      <c r="B62" t="s">
        <v>231</v>
      </c>
      <c r="C62" t="s">
        <v>112</v>
      </c>
      <c r="D62" t="s">
        <v>118</v>
      </c>
      <c r="E62" t="s">
        <v>179</v>
      </c>
      <c r="F62">
        <v>64</v>
      </c>
      <c r="G62">
        <v>5.33</v>
      </c>
      <c r="H62">
        <v>63.26</v>
      </c>
      <c r="I62">
        <v>2</v>
      </c>
      <c r="J62">
        <v>1</v>
      </c>
    </row>
    <row r="63" spans="1:10" x14ac:dyDescent="0.25">
      <c r="A63" t="s">
        <v>71</v>
      </c>
      <c r="B63" t="s">
        <v>222</v>
      </c>
      <c r="C63" t="s">
        <v>110</v>
      </c>
      <c r="D63" t="s">
        <v>118</v>
      </c>
      <c r="E63" t="s">
        <v>180</v>
      </c>
      <c r="F63">
        <v>75</v>
      </c>
      <c r="G63">
        <v>9.1199999999999992</v>
      </c>
      <c r="H63">
        <v>62.2</v>
      </c>
      <c r="I63">
        <v>9</v>
      </c>
      <c r="J63">
        <v>4</v>
      </c>
    </row>
    <row r="64" spans="1:10" x14ac:dyDescent="0.25">
      <c r="A64" t="s">
        <v>72</v>
      </c>
      <c r="B64" t="s">
        <v>236</v>
      </c>
      <c r="C64" t="s">
        <v>112</v>
      </c>
      <c r="D64" t="s">
        <v>116</v>
      </c>
      <c r="E64" t="s">
        <v>181</v>
      </c>
      <c r="F64">
        <v>48</v>
      </c>
      <c r="G64">
        <v>16.54</v>
      </c>
      <c r="H64">
        <v>98.65</v>
      </c>
      <c r="I64">
        <v>6</v>
      </c>
      <c r="J64">
        <v>1</v>
      </c>
    </row>
    <row r="65" spans="1:10" x14ac:dyDescent="0.25">
      <c r="A65" t="s">
        <v>73</v>
      </c>
      <c r="B65" t="s">
        <v>227</v>
      </c>
      <c r="C65" t="s">
        <v>111</v>
      </c>
      <c r="D65" t="s">
        <v>116</v>
      </c>
      <c r="E65" t="s">
        <v>182</v>
      </c>
      <c r="F65">
        <v>12</v>
      </c>
      <c r="G65">
        <v>17.350000000000001</v>
      </c>
      <c r="H65">
        <v>69.650000000000006</v>
      </c>
      <c r="I65">
        <v>9</v>
      </c>
      <c r="J65">
        <v>4</v>
      </c>
    </row>
    <row r="66" spans="1:10" x14ac:dyDescent="0.25">
      <c r="A66" t="s">
        <v>74</v>
      </c>
      <c r="B66" t="s">
        <v>220</v>
      </c>
      <c r="C66" t="s">
        <v>110</v>
      </c>
      <c r="D66" t="s">
        <v>117</v>
      </c>
      <c r="E66" t="s">
        <v>183</v>
      </c>
      <c r="F66">
        <v>51</v>
      </c>
      <c r="G66">
        <v>1.1299999999999999</v>
      </c>
      <c r="H66">
        <v>94.6</v>
      </c>
      <c r="I66">
        <v>4</v>
      </c>
      <c r="J66">
        <v>2</v>
      </c>
    </row>
    <row r="67" spans="1:10" x14ac:dyDescent="0.25">
      <c r="A67" t="s">
        <v>75</v>
      </c>
      <c r="B67" t="s">
        <v>244</v>
      </c>
      <c r="C67" t="s">
        <v>114</v>
      </c>
      <c r="D67" t="s">
        <v>116</v>
      </c>
      <c r="E67" t="s">
        <v>184</v>
      </c>
      <c r="F67">
        <v>39</v>
      </c>
      <c r="G67">
        <v>10.7</v>
      </c>
      <c r="H67">
        <v>81.56</v>
      </c>
      <c r="I67">
        <v>9</v>
      </c>
      <c r="J67">
        <v>4</v>
      </c>
    </row>
    <row r="68" spans="1:10" x14ac:dyDescent="0.25">
      <c r="A68" t="s">
        <v>76</v>
      </c>
      <c r="B68" t="s">
        <v>242</v>
      </c>
      <c r="C68" t="s">
        <v>111</v>
      </c>
      <c r="D68" t="s">
        <v>115</v>
      </c>
      <c r="E68" t="s">
        <v>185</v>
      </c>
      <c r="F68">
        <v>82</v>
      </c>
      <c r="G68">
        <v>8.93</v>
      </c>
      <c r="H68">
        <v>89.74</v>
      </c>
      <c r="I68">
        <v>4</v>
      </c>
      <c r="J68">
        <v>3</v>
      </c>
    </row>
    <row r="69" spans="1:10" x14ac:dyDescent="0.25">
      <c r="A69" t="s">
        <v>77</v>
      </c>
      <c r="B69" t="s">
        <v>228</v>
      </c>
      <c r="C69" t="s">
        <v>111</v>
      </c>
      <c r="D69" t="s">
        <v>115</v>
      </c>
      <c r="E69" t="s">
        <v>186</v>
      </c>
      <c r="F69">
        <v>85</v>
      </c>
      <c r="G69">
        <v>5.22</v>
      </c>
      <c r="H69">
        <v>75.13</v>
      </c>
      <c r="I69">
        <v>6</v>
      </c>
      <c r="J69">
        <v>0</v>
      </c>
    </row>
    <row r="70" spans="1:10" x14ac:dyDescent="0.25">
      <c r="A70" t="s">
        <v>78</v>
      </c>
      <c r="B70" t="s">
        <v>227</v>
      </c>
      <c r="C70" t="s">
        <v>110</v>
      </c>
      <c r="D70" t="s">
        <v>117</v>
      </c>
      <c r="E70" t="s">
        <v>187</v>
      </c>
      <c r="F70">
        <v>40</v>
      </c>
      <c r="G70">
        <v>3.28</v>
      </c>
      <c r="H70">
        <v>78.849999999999994</v>
      </c>
      <c r="I70">
        <v>8</v>
      </c>
      <c r="J70">
        <v>4</v>
      </c>
    </row>
    <row r="71" spans="1:10" x14ac:dyDescent="0.25">
      <c r="A71" t="s">
        <v>79</v>
      </c>
      <c r="B71" t="s">
        <v>245</v>
      </c>
      <c r="C71" t="s">
        <v>110</v>
      </c>
      <c r="D71" t="s">
        <v>115</v>
      </c>
      <c r="E71" t="s">
        <v>188</v>
      </c>
      <c r="F71">
        <v>54</v>
      </c>
      <c r="G71">
        <v>7.41</v>
      </c>
      <c r="H71">
        <v>74.63</v>
      </c>
      <c r="I71">
        <v>4</v>
      </c>
      <c r="J71">
        <v>4</v>
      </c>
    </row>
    <row r="72" spans="1:10" x14ac:dyDescent="0.25">
      <c r="A72" t="s">
        <v>80</v>
      </c>
      <c r="B72" t="s">
        <v>246</v>
      </c>
      <c r="C72" t="s">
        <v>112</v>
      </c>
      <c r="D72" t="s">
        <v>115</v>
      </c>
      <c r="E72" t="s">
        <v>189</v>
      </c>
      <c r="F72">
        <v>8</v>
      </c>
      <c r="G72">
        <v>18.920000000000002</v>
      </c>
      <c r="H72">
        <v>59.76</v>
      </c>
      <c r="I72">
        <v>0</v>
      </c>
      <c r="J72">
        <v>0</v>
      </c>
    </row>
    <row r="73" spans="1:10" x14ac:dyDescent="0.25">
      <c r="A73" t="s">
        <v>81</v>
      </c>
      <c r="B73" t="s">
        <v>219</v>
      </c>
      <c r="C73" t="s">
        <v>111</v>
      </c>
      <c r="D73" t="s">
        <v>118</v>
      </c>
      <c r="E73" t="s">
        <v>190</v>
      </c>
      <c r="F73">
        <v>6</v>
      </c>
      <c r="G73">
        <v>7.14</v>
      </c>
      <c r="H73">
        <v>86.12</v>
      </c>
      <c r="I73">
        <v>9</v>
      </c>
      <c r="J73">
        <v>3</v>
      </c>
    </row>
    <row r="74" spans="1:10" x14ac:dyDescent="0.25">
      <c r="A74" t="s">
        <v>82</v>
      </c>
      <c r="B74" t="s">
        <v>234</v>
      </c>
      <c r="C74" t="s">
        <v>112</v>
      </c>
      <c r="D74" t="s">
        <v>116</v>
      </c>
      <c r="E74" t="s">
        <v>191</v>
      </c>
      <c r="F74">
        <v>10</v>
      </c>
      <c r="G74">
        <v>10.86</v>
      </c>
      <c r="H74">
        <v>64.040000000000006</v>
      </c>
      <c r="I74">
        <v>9</v>
      </c>
      <c r="J74">
        <v>1</v>
      </c>
    </row>
    <row r="75" spans="1:10" x14ac:dyDescent="0.25">
      <c r="A75" t="s">
        <v>83</v>
      </c>
      <c r="B75" t="s">
        <v>226</v>
      </c>
      <c r="C75" t="s">
        <v>111</v>
      </c>
      <c r="D75" t="s">
        <v>115</v>
      </c>
      <c r="E75" t="s">
        <v>192</v>
      </c>
      <c r="F75">
        <v>58</v>
      </c>
      <c r="G75">
        <v>14.36</v>
      </c>
      <c r="H75">
        <v>51.22</v>
      </c>
      <c r="I75">
        <v>0</v>
      </c>
      <c r="J75">
        <v>4</v>
      </c>
    </row>
    <row r="76" spans="1:10" x14ac:dyDescent="0.25">
      <c r="A76" t="s">
        <v>84</v>
      </c>
      <c r="B76" t="s">
        <v>238</v>
      </c>
      <c r="C76" t="s">
        <v>111</v>
      </c>
      <c r="D76" t="s">
        <v>115</v>
      </c>
      <c r="E76" t="s">
        <v>193</v>
      </c>
      <c r="F76">
        <v>8</v>
      </c>
      <c r="G76">
        <v>7.91</v>
      </c>
      <c r="H76">
        <v>82.27</v>
      </c>
      <c r="I76">
        <v>1</v>
      </c>
      <c r="J76">
        <v>0</v>
      </c>
    </row>
    <row r="77" spans="1:10" x14ac:dyDescent="0.25">
      <c r="A77" t="s">
        <v>85</v>
      </c>
      <c r="B77" t="s">
        <v>243</v>
      </c>
      <c r="C77" t="s">
        <v>114</v>
      </c>
      <c r="D77" t="s">
        <v>116</v>
      </c>
      <c r="E77" t="s">
        <v>194</v>
      </c>
      <c r="F77">
        <v>58</v>
      </c>
      <c r="G77">
        <v>19.46</v>
      </c>
      <c r="H77">
        <v>58.86</v>
      </c>
      <c r="I77">
        <v>5</v>
      </c>
      <c r="J77">
        <v>2</v>
      </c>
    </row>
    <row r="78" spans="1:10" x14ac:dyDescent="0.25">
      <c r="A78" t="s">
        <v>86</v>
      </c>
      <c r="B78" t="s">
        <v>229</v>
      </c>
      <c r="C78" t="s">
        <v>111</v>
      </c>
      <c r="D78" t="s">
        <v>115</v>
      </c>
      <c r="E78" t="s">
        <v>195</v>
      </c>
      <c r="F78">
        <v>97</v>
      </c>
      <c r="G78">
        <v>19.29</v>
      </c>
      <c r="H78">
        <v>97.02</v>
      </c>
      <c r="I78">
        <v>8</v>
      </c>
      <c r="J78">
        <v>0</v>
      </c>
    </row>
    <row r="79" spans="1:10" x14ac:dyDescent="0.25">
      <c r="A79" t="s">
        <v>87</v>
      </c>
      <c r="B79" t="s">
        <v>232</v>
      </c>
      <c r="C79" t="s">
        <v>112</v>
      </c>
      <c r="D79" t="s">
        <v>115</v>
      </c>
      <c r="E79" t="s">
        <v>196</v>
      </c>
      <c r="F79">
        <v>67</v>
      </c>
      <c r="G79">
        <v>5.78</v>
      </c>
      <c r="H79">
        <v>97.7</v>
      </c>
      <c r="I79">
        <v>7</v>
      </c>
      <c r="J79">
        <v>2</v>
      </c>
    </row>
    <row r="80" spans="1:10" x14ac:dyDescent="0.25">
      <c r="A80" t="s">
        <v>88</v>
      </c>
      <c r="B80" t="s">
        <v>235</v>
      </c>
      <c r="C80" t="s">
        <v>112</v>
      </c>
      <c r="D80" t="s">
        <v>116</v>
      </c>
      <c r="E80" t="s">
        <v>197</v>
      </c>
      <c r="F80">
        <v>22</v>
      </c>
      <c r="G80">
        <v>10.45</v>
      </c>
      <c r="H80">
        <v>95.74</v>
      </c>
      <c r="I80">
        <v>4</v>
      </c>
      <c r="J80">
        <v>3</v>
      </c>
    </row>
    <row r="81" spans="1:10" x14ac:dyDescent="0.25">
      <c r="A81" t="s">
        <v>89</v>
      </c>
      <c r="B81" t="s">
        <v>228</v>
      </c>
      <c r="C81" t="s">
        <v>114</v>
      </c>
      <c r="D81" t="s">
        <v>118</v>
      </c>
      <c r="E81" t="s">
        <v>198</v>
      </c>
      <c r="F81">
        <v>94</v>
      </c>
      <c r="G81">
        <v>6.72</v>
      </c>
      <c r="H81">
        <v>68.510000000000005</v>
      </c>
      <c r="I81">
        <v>0</v>
      </c>
      <c r="J81">
        <v>1</v>
      </c>
    </row>
    <row r="82" spans="1:10" x14ac:dyDescent="0.25">
      <c r="A82" t="s">
        <v>90</v>
      </c>
      <c r="B82" t="s">
        <v>231</v>
      </c>
      <c r="C82" t="s">
        <v>112</v>
      </c>
      <c r="D82" t="s">
        <v>115</v>
      </c>
      <c r="E82" t="s">
        <v>199</v>
      </c>
      <c r="F82">
        <v>48</v>
      </c>
      <c r="G82">
        <v>6.41</v>
      </c>
      <c r="H82">
        <v>50.77</v>
      </c>
      <c r="I82">
        <v>6</v>
      </c>
      <c r="J82">
        <v>0</v>
      </c>
    </row>
    <row r="83" spans="1:10" x14ac:dyDescent="0.25">
      <c r="A83" t="s">
        <v>91</v>
      </c>
      <c r="B83" t="s">
        <v>247</v>
      </c>
      <c r="C83" t="s">
        <v>110</v>
      </c>
      <c r="D83" t="s">
        <v>116</v>
      </c>
      <c r="E83" t="s">
        <v>200</v>
      </c>
      <c r="F83">
        <v>38</v>
      </c>
      <c r="G83">
        <v>1.7</v>
      </c>
      <c r="H83">
        <v>96.42</v>
      </c>
      <c r="I83">
        <v>4</v>
      </c>
      <c r="J83">
        <v>5</v>
      </c>
    </row>
    <row r="84" spans="1:10" x14ac:dyDescent="0.25">
      <c r="A84" t="s">
        <v>92</v>
      </c>
      <c r="B84" t="s">
        <v>223</v>
      </c>
      <c r="C84" t="s">
        <v>114</v>
      </c>
      <c r="D84" t="s">
        <v>115</v>
      </c>
      <c r="E84" t="s">
        <v>201</v>
      </c>
      <c r="F84">
        <v>78</v>
      </c>
      <c r="G84">
        <v>12.58</v>
      </c>
      <c r="H84">
        <v>71.41</v>
      </c>
      <c r="I84">
        <v>5</v>
      </c>
      <c r="J84">
        <v>4</v>
      </c>
    </row>
    <row r="85" spans="1:10" x14ac:dyDescent="0.25">
      <c r="A85" t="s">
        <v>93</v>
      </c>
      <c r="B85" t="s">
        <v>239</v>
      </c>
      <c r="C85" t="s">
        <v>112</v>
      </c>
      <c r="D85" t="s">
        <v>115</v>
      </c>
      <c r="E85" t="s">
        <v>202</v>
      </c>
      <c r="F85">
        <v>66</v>
      </c>
      <c r="G85">
        <v>10.55</v>
      </c>
      <c r="H85">
        <v>98.33</v>
      </c>
      <c r="I85">
        <v>6</v>
      </c>
      <c r="J85">
        <v>3</v>
      </c>
    </row>
    <row r="86" spans="1:10" x14ac:dyDescent="0.25">
      <c r="A86" t="s">
        <v>94</v>
      </c>
      <c r="B86" t="s">
        <v>245</v>
      </c>
      <c r="C86" t="s">
        <v>112</v>
      </c>
      <c r="D86" t="s">
        <v>118</v>
      </c>
      <c r="E86" t="s">
        <v>203</v>
      </c>
      <c r="F86">
        <v>18</v>
      </c>
      <c r="G86">
        <v>1.98</v>
      </c>
      <c r="H86">
        <v>98.18</v>
      </c>
      <c r="I86">
        <v>2</v>
      </c>
      <c r="J86">
        <v>0</v>
      </c>
    </row>
    <row r="87" spans="1:10" x14ac:dyDescent="0.25">
      <c r="A87" t="s">
        <v>95</v>
      </c>
      <c r="B87" t="s">
        <v>228</v>
      </c>
      <c r="C87" t="s">
        <v>110</v>
      </c>
      <c r="D87" t="s">
        <v>117</v>
      </c>
      <c r="E87" t="s">
        <v>204</v>
      </c>
      <c r="F87">
        <v>99</v>
      </c>
      <c r="G87">
        <v>6.29</v>
      </c>
      <c r="H87">
        <v>92.65</v>
      </c>
      <c r="I87">
        <v>9</v>
      </c>
      <c r="J87">
        <v>4</v>
      </c>
    </row>
    <row r="88" spans="1:10" x14ac:dyDescent="0.25">
      <c r="A88" t="s">
        <v>96</v>
      </c>
      <c r="B88" t="s">
        <v>238</v>
      </c>
      <c r="C88" t="s">
        <v>114</v>
      </c>
      <c r="D88" t="s">
        <v>117</v>
      </c>
      <c r="E88" t="s">
        <v>205</v>
      </c>
      <c r="F88">
        <v>52</v>
      </c>
      <c r="G88">
        <v>18.260000000000002</v>
      </c>
      <c r="H88">
        <v>64.72</v>
      </c>
      <c r="I88">
        <v>2</v>
      </c>
      <c r="J88">
        <v>0</v>
      </c>
    </row>
    <row r="89" spans="1:10" x14ac:dyDescent="0.25">
      <c r="A89" t="s">
        <v>97</v>
      </c>
      <c r="B89" t="s">
        <v>223</v>
      </c>
      <c r="C89" t="s">
        <v>110</v>
      </c>
      <c r="D89" t="s">
        <v>116</v>
      </c>
      <c r="E89" t="s">
        <v>206</v>
      </c>
      <c r="F89">
        <v>19</v>
      </c>
      <c r="G89">
        <v>5.55</v>
      </c>
      <c r="H89">
        <v>69.25</v>
      </c>
      <c r="I89">
        <v>4</v>
      </c>
      <c r="J89">
        <v>2</v>
      </c>
    </row>
    <row r="90" spans="1:10" x14ac:dyDescent="0.25">
      <c r="A90" t="s">
        <v>98</v>
      </c>
      <c r="B90" t="s">
        <v>238</v>
      </c>
      <c r="C90" t="s">
        <v>114</v>
      </c>
      <c r="D90" t="s">
        <v>117</v>
      </c>
      <c r="E90" t="s">
        <v>207</v>
      </c>
      <c r="F90">
        <v>76</v>
      </c>
      <c r="G90">
        <v>3.75</v>
      </c>
      <c r="H90">
        <v>92.56</v>
      </c>
      <c r="I90">
        <v>5</v>
      </c>
      <c r="J90">
        <v>0</v>
      </c>
    </row>
    <row r="91" spans="1:10" x14ac:dyDescent="0.25">
      <c r="A91" t="s">
        <v>99</v>
      </c>
      <c r="B91" t="s">
        <v>220</v>
      </c>
      <c r="C91" t="s">
        <v>114</v>
      </c>
      <c r="D91" t="s">
        <v>116</v>
      </c>
      <c r="E91" t="s">
        <v>208</v>
      </c>
      <c r="F91">
        <v>82</v>
      </c>
      <c r="G91">
        <v>10.3</v>
      </c>
      <c r="H91">
        <v>65.849999999999994</v>
      </c>
      <c r="I91">
        <v>8</v>
      </c>
      <c r="J91">
        <v>5</v>
      </c>
    </row>
    <row r="92" spans="1:10" x14ac:dyDescent="0.25">
      <c r="A92" t="s">
        <v>100</v>
      </c>
      <c r="B92" t="s">
        <v>242</v>
      </c>
      <c r="C92" t="s">
        <v>111</v>
      </c>
      <c r="D92" t="s">
        <v>117</v>
      </c>
      <c r="E92" t="s">
        <v>209</v>
      </c>
      <c r="F92">
        <v>91</v>
      </c>
      <c r="G92">
        <v>19.73</v>
      </c>
      <c r="H92">
        <v>58.47</v>
      </c>
      <c r="I92">
        <v>4</v>
      </c>
      <c r="J92">
        <v>0</v>
      </c>
    </row>
    <row r="93" spans="1:10" x14ac:dyDescent="0.25">
      <c r="A93" t="s">
        <v>101</v>
      </c>
      <c r="B93" t="s">
        <v>248</v>
      </c>
      <c r="C93" t="s">
        <v>112</v>
      </c>
      <c r="D93" t="s">
        <v>118</v>
      </c>
      <c r="E93" t="s">
        <v>210</v>
      </c>
      <c r="F93">
        <v>66</v>
      </c>
      <c r="G93">
        <v>5.6</v>
      </c>
      <c r="H93">
        <v>77.84</v>
      </c>
      <c r="I93">
        <v>0</v>
      </c>
      <c r="J93">
        <v>0</v>
      </c>
    </row>
    <row r="94" spans="1:10" x14ac:dyDescent="0.25">
      <c r="A94" t="s">
        <v>102</v>
      </c>
      <c r="B94" t="s">
        <v>236</v>
      </c>
      <c r="C94" t="s">
        <v>112</v>
      </c>
      <c r="D94" t="s">
        <v>116</v>
      </c>
      <c r="E94" t="s">
        <v>211</v>
      </c>
      <c r="F94">
        <v>44</v>
      </c>
      <c r="G94">
        <v>13.77</v>
      </c>
      <c r="H94">
        <v>96.81</v>
      </c>
      <c r="I94">
        <v>3</v>
      </c>
      <c r="J94">
        <v>5</v>
      </c>
    </row>
    <row r="95" spans="1:10" x14ac:dyDescent="0.25">
      <c r="A95" t="s">
        <v>103</v>
      </c>
      <c r="B95" t="s">
        <v>219</v>
      </c>
      <c r="C95" t="s">
        <v>111</v>
      </c>
      <c r="D95" t="s">
        <v>117</v>
      </c>
      <c r="E95" t="s">
        <v>212</v>
      </c>
      <c r="F95">
        <v>89</v>
      </c>
      <c r="G95">
        <v>15.47</v>
      </c>
      <c r="H95">
        <v>84.8</v>
      </c>
      <c r="I95">
        <v>4</v>
      </c>
      <c r="J95">
        <v>3</v>
      </c>
    </row>
    <row r="96" spans="1:10" x14ac:dyDescent="0.25">
      <c r="A96" t="s">
        <v>104</v>
      </c>
      <c r="B96" t="s">
        <v>246</v>
      </c>
      <c r="C96" t="s">
        <v>110</v>
      </c>
      <c r="D96" t="s">
        <v>118</v>
      </c>
      <c r="E96" t="s">
        <v>213</v>
      </c>
      <c r="F96">
        <v>84</v>
      </c>
      <c r="G96">
        <v>5.52</v>
      </c>
      <c r="H96">
        <v>78.5</v>
      </c>
      <c r="I96">
        <v>9</v>
      </c>
      <c r="J96">
        <v>0</v>
      </c>
    </row>
    <row r="97" spans="1:10" x14ac:dyDescent="0.25">
      <c r="A97" t="s">
        <v>105</v>
      </c>
      <c r="B97" t="s">
        <v>243</v>
      </c>
      <c r="C97" t="s">
        <v>111</v>
      </c>
      <c r="D97" t="s">
        <v>117</v>
      </c>
      <c r="E97" t="s">
        <v>214</v>
      </c>
      <c r="F97">
        <v>86</v>
      </c>
      <c r="G97">
        <v>14.84</v>
      </c>
      <c r="H97">
        <v>54.86</v>
      </c>
      <c r="I97">
        <v>9</v>
      </c>
      <c r="J97">
        <v>5</v>
      </c>
    </row>
    <row r="98" spans="1:10" x14ac:dyDescent="0.25">
      <c r="A98" t="s">
        <v>106</v>
      </c>
      <c r="B98" t="s">
        <v>240</v>
      </c>
      <c r="C98" t="s">
        <v>112</v>
      </c>
      <c r="D98" t="s">
        <v>115</v>
      </c>
      <c r="E98" t="s">
        <v>215</v>
      </c>
      <c r="F98">
        <v>57</v>
      </c>
      <c r="G98">
        <v>7.99</v>
      </c>
      <c r="H98">
        <v>80.75</v>
      </c>
      <c r="I98">
        <v>4</v>
      </c>
      <c r="J98">
        <v>4</v>
      </c>
    </row>
    <row r="99" spans="1:10" x14ac:dyDescent="0.25">
      <c r="A99" t="s">
        <v>107</v>
      </c>
      <c r="B99" t="s">
        <v>243</v>
      </c>
      <c r="C99" t="s">
        <v>112</v>
      </c>
      <c r="D99" t="s">
        <v>115</v>
      </c>
      <c r="E99" t="s">
        <v>216</v>
      </c>
      <c r="F99">
        <v>28</v>
      </c>
      <c r="G99">
        <v>13.01</v>
      </c>
      <c r="H99">
        <v>99.5</v>
      </c>
      <c r="I99">
        <v>6</v>
      </c>
      <c r="J99">
        <v>2</v>
      </c>
    </row>
    <row r="100" spans="1:10" x14ac:dyDescent="0.25">
      <c r="A100" t="s">
        <v>108</v>
      </c>
      <c r="B100" t="s">
        <v>243</v>
      </c>
      <c r="C100" t="s">
        <v>111</v>
      </c>
      <c r="D100" t="s">
        <v>118</v>
      </c>
      <c r="E100" t="s">
        <v>217</v>
      </c>
      <c r="F100">
        <v>30</v>
      </c>
      <c r="G100">
        <v>13.04</v>
      </c>
      <c r="H100">
        <v>57</v>
      </c>
      <c r="I100">
        <v>3</v>
      </c>
      <c r="J100">
        <v>2</v>
      </c>
    </row>
    <row r="101" spans="1:10" x14ac:dyDescent="0.25">
      <c r="A101" t="s">
        <v>109</v>
      </c>
      <c r="B101" t="s">
        <v>232</v>
      </c>
      <c r="C101" t="s">
        <v>111</v>
      </c>
      <c r="D101" t="s">
        <v>115</v>
      </c>
      <c r="E101" t="s">
        <v>218</v>
      </c>
      <c r="F101">
        <v>93</v>
      </c>
      <c r="G101">
        <v>11.18</v>
      </c>
      <c r="H101">
        <v>75.92</v>
      </c>
      <c r="I101">
        <v>0</v>
      </c>
      <c r="J101">
        <v>0</v>
      </c>
    </row>
    <row r="102" spans="1:10" x14ac:dyDescent="0.25">
      <c r="A102" t="s">
        <v>10</v>
      </c>
      <c r="B102" t="s">
        <v>219</v>
      </c>
      <c r="C102" t="s">
        <v>110</v>
      </c>
      <c r="D102" t="s">
        <v>115</v>
      </c>
      <c r="E102" t="s">
        <v>119</v>
      </c>
      <c r="F102">
        <v>56</v>
      </c>
      <c r="G102">
        <v>6.34</v>
      </c>
      <c r="H102">
        <v>54.51</v>
      </c>
      <c r="I102">
        <v>1</v>
      </c>
      <c r="J102">
        <v>5</v>
      </c>
    </row>
    <row r="103" spans="1:10" x14ac:dyDescent="0.25">
      <c r="A103" t="s">
        <v>11</v>
      </c>
      <c r="B103" t="s">
        <v>220</v>
      </c>
      <c r="C103" t="s">
        <v>111</v>
      </c>
      <c r="D103" t="s">
        <v>116</v>
      </c>
      <c r="E103" t="s">
        <v>120</v>
      </c>
      <c r="F103">
        <v>97</v>
      </c>
      <c r="G103">
        <v>11.31</v>
      </c>
      <c r="H103">
        <v>91.77</v>
      </c>
      <c r="I103">
        <v>9</v>
      </c>
      <c r="J103">
        <v>5</v>
      </c>
    </row>
    <row r="104" spans="1:10" x14ac:dyDescent="0.25">
      <c r="A104" t="s">
        <v>12</v>
      </c>
      <c r="B104" t="s">
        <v>221</v>
      </c>
      <c r="C104" t="s">
        <v>112</v>
      </c>
      <c r="D104" t="s">
        <v>115</v>
      </c>
      <c r="E104" t="s">
        <v>121</v>
      </c>
      <c r="F104">
        <v>19</v>
      </c>
      <c r="G104">
        <v>3.68</v>
      </c>
      <c r="H104">
        <v>66.040000000000006</v>
      </c>
      <c r="I104">
        <v>0</v>
      </c>
      <c r="J104">
        <v>4</v>
      </c>
    </row>
    <row r="105" spans="1:10" x14ac:dyDescent="0.25">
      <c r="A105" t="s">
        <v>13</v>
      </c>
      <c r="B105" t="s">
        <v>222</v>
      </c>
      <c r="C105" t="s">
        <v>112</v>
      </c>
      <c r="D105" t="s">
        <v>115</v>
      </c>
      <c r="E105" t="s">
        <v>122</v>
      </c>
      <c r="F105">
        <v>76</v>
      </c>
      <c r="G105">
        <v>16.239999999999998</v>
      </c>
      <c r="H105">
        <v>59.33</v>
      </c>
      <c r="I105">
        <v>7</v>
      </c>
      <c r="J105">
        <v>1</v>
      </c>
    </row>
    <row r="106" spans="1:10" x14ac:dyDescent="0.25">
      <c r="A106" t="s">
        <v>14</v>
      </c>
      <c r="B106" t="s">
        <v>248</v>
      </c>
      <c r="C106" t="s">
        <v>112</v>
      </c>
      <c r="D106" t="s">
        <v>117</v>
      </c>
      <c r="E106" t="s">
        <v>123</v>
      </c>
      <c r="F106">
        <v>65</v>
      </c>
      <c r="G106">
        <v>2.42</v>
      </c>
      <c r="H106">
        <v>52.04</v>
      </c>
      <c r="I106">
        <v>0</v>
      </c>
      <c r="J106">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CD297-371A-426C-82FA-1F21F25A47DB}">
  <sheetPr codeName="ShEmails"/>
  <dimension ref="A1:C31"/>
  <sheetViews>
    <sheetView workbookViewId="0">
      <selection activeCell="A2" sqref="A2"/>
    </sheetView>
  </sheetViews>
  <sheetFormatPr defaultRowHeight="15" x14ac:dyDescent="0.25"/>
  <cols>
    <col min="1" max="1" width="21" bestFit="1" customWidth="1"/>
    <col min="2" max="2" width="10.85546875" bestFit="1" customWidth="1"/>
    <col min="3" max="3" width="35.5703125" bestFit="1" customWidth="1"/>
    <col min="12" max="12" width="21" bestFit="1" customWidth="1"/>
  </cols>
  <sheetData>
    <row r="1" spans="1:3" x14ac:dyDescent="0.25">
      <c r="A1" t="s">
        <v>259</v>
      </c>
      <c r="B1" t="s">
        <v>0</v>
      </c>
      <c r="C1" t="s">
        <v>260</v>
      </c>
    </row>
    <row r="2" spans="1:3" x14ac:dyDescent="0.25">
      <c r="A2" s="6" t="s">
        <v>219</v>
      </c>
      <c r="B2" t="s">
        <v>10</v>
      </c>
      <c r="C2" t="s">
        <v>261</v>
      </c>
    </row>
    <row r="3" spans="1:3" x14ac:dyDescent="0.25">
      <c r="A3" s="6" t="s">
        <v>220</v>
      </c>
      <c r="B3" t="s">
        <v>11</v>
      </c>
      <c r="C3" t="s">
        <v>262</v>
      </c>
    </row>
    <row r="4" spans="1:3" x14ac:dyDescent="0.25">
      <c r="A4" s="6" t="s">
        <v>221</v>
      </c>
      <c r="B4" t="s">
        <v>12</v>
      </c>
      <c r="C4" t="s">
        <v>263</v>
      </c>
    </row>
    <row r="5" spans="1:3" x14ac:dyDescent="0.25">
      <c r="A5" s="6" t="s">
        <v>222</v>
      </c>
      <c r="B5" t="s">
        <v>13</v>
      </c>
      <c r="C5" t="s">
        <v>264</v>
      </c>
    </row>
    <row r="6" spans="1:3" x14ac:dyDescent="0.25">
      <c r="A6" s="6" t="s">
        <v>248</v>
      </c>
      <c r="B6" t="s">
        <v>14</v>
      </c>
      <c r="C6" t="s">
        <v>265</v>
      </c>
    </row>
    <row r="7" spans="1:3" x14ac:dyDescent="0.25">
      <c r="A7" s="6" t="s">
        <v>223</v>
      </c>
      <c r="B7" t="s">
        <v>15</v>
      </c>
      <c r="C7" t="s">
        <v>266</v>
      </c>
    </row>
    <row r="8" spans="1:3" x14ac:dyDescent="0.25">
      <c r="A8" s="6" t="s">
        <v>224</v>
      </c>
      <c r="B8" t="s">
        <v>17</v>
      </c>
      <c r="C8" t="s">
        <v>267</v>
      </c>
    </row>
    <row r="9" spans="1:3" x14ac:dyDescent="0.25">
      <c r="A9" s="6" t="s">
        <v>225</v>
      </c>
      <c r="B9" t="s">
        <v>20</v>
      </c>
      <c r="C9" t="s">
        <v>268</v>
      </c>
    </row>
    <row r="10" spans="1:3" x14ac:dyDescent="0.25">
      <c r="A10" s="6" t="s">
        <v>226</v>
      </c>
      <c r="B10" t="s">
        <v>22</v>
      </c>
      <c r="C10" t="s">
        <v>269</v>
      </c>
    </row>
    <row r="11" spans="1:3" x14ac:dyDescent="0.25">
      <c r="A11" s="6" t="s">
        <v>227</v>
      </c>
      <c r="B11" t="s">
        <v>23</v>
      </c>
      <c r="C11" t="s">
        <v>270</v>
      </c>
    </row>
    <row r="12" spans="1:3" x14ac:dyDescent="0.25">
      <c r="A12" s="6" t="s">
        <v>228</v>
      </c>
      <c r="B12" t="s">
        <v>24</v>
      </c>
      <c r="C12" t="s">
        <v>271</v>
      </c>
    </row>
    <row r="13" spans="1:3" x14ac:dyDescent="0.25">
      <c r="A13" s="6" t="s">
        <v>229</v>
      </c>
      <c r="B13" t="s">
        <v>25</v>
      </c>
      <c r="C13" t="s">
        <v>272</v>
      </c>
    </row>
    <row r="14" spans="1:3" x14ac:dyDescent="0.25">
      <c r="A14" s="6" t="s">
        <v>230</v>
      </c>
      <c r="B14" t="s">
        <v>26</v>
      </c>
      <c r="C14" t="s">
        <v>273</v>
      </c>
    </row>
    <row r="15" spans="1:3" x14ac:dyDescent="0.25">
      <c r="A15" s="6" t="s">
        <v>231</v>
      </c>
      <c r="B15" t="s">
        <v>27</v>
      </c>
      <c r="C15" t="s">
        <v>274</v>
      </c>
    </row>
    <row r="16" spans="1:3" x14ac:dyDescent="0.25">
      <c r="A16" s="6" t="s">
        <v>232</v>
      </c>
      <c r="B16" t="s">
        <v>30</v>
      </c>
      <c r="C16" t="s">
        <v>275</v>
      </c>
    </row>
    <row r="17" spans="1:3" x14ac:dyDescent="0.25">
      <c r="A17" s="6" t="s">
        <v>233</v>
      </c>
      <c r="B17" t="s">
        <v>32</v>
      </c>
      <c r="C17" t="s">
        <v>276</v>
      </c>
    </row>
    <row r="18" spans="1:3" x14ac:dyDescent="0.25">
      <c r="A18" s="6" t="s">
        <v>234</v>
      </c>
      <c r="B18" t="s">
        <v>33</v>
      </c>
      <c r="C18" t="s">
        <v>277</v>
      </c>
    </row>
    <row r="19" spans="1:3" x14ac:dyDescent="0.25">
      <c r="A19" s="6" t="s">
        <v>235</v>
      </c>
      <c r="B19" t="s">
        <v>37</v>
      </c>
      <c r="C19" t="s">
        <v>278</v>
      </c>
    </row>
    <row r="20" spans="1:3" x14ac:dyDescent="0.25">
      <c r="A20" s="6" t="s">
        <v>236</v>
      </c>
      <c r="B20" t="s">
        <v>43</v>
      </c>
      <c r="C20" t="s">
        <v>279</v>
      </c>
    </row>
    <row r="21" spans="1:3" x14ac:dyDescent="0.25">
      <c r="A21" s="6" t="s">
        <v>237</v>
      </c>
      <c r="B21" t="s">
        <v>46</v>
      </c>
      <c r="C21" t="s">
        <v>280</v>
      </c>
    </row>
    <row r="22" spans="1:3" x14ac:dyDescent="0.25">
      <c r="A22" s="6" t="s">
        <v>238</v>
      </c>
      <c r="B22" t="s">
        <v>47</v>
      </c>
      <c r="C22" t="s">
        <v>281</v>
      </c>
    </row>
    <row r="23" spans="1:3" x14ac:dyDescent="0.25">
      <c r="A23" s="6" t="s">
        <v>239</v>
      </c>
      <c r="B23" t="s">
        <v>49</v>
      </c>
      <c r="C23" t="s">
        <v>282</v>
      </c>
    </row>
    <row r="24" spans="1:3" x14ac:dyDescent="0.25">
      <c r="A24" s="6" t="s">
        <v>240</v>
      </c>
      <c r="B24" t="s">
        <v>51</v>
      </c>
      <c r="C24" t="s">
        <v>283</v>
      </c>
    </row>
    <row r="25" spans="1:3" x14ac:dyDescent="0.25">
      <c r="A25" s="6" t="s">
        <v>241</v>
      </c>
      <c r="B25" t="s">
        <v>54</v>
      </c>
      <c r="C25" t="s">
        <v>284</v>
      </c>
    </row>
    <row r="26" spans="1:3" x14ac:dyDescent="0.25">
      <c r="A26" s="6" t="s">
        <v>242</v>
      </c>
      <c r="B26" t="s">
        <v>62</v>
      </c>
      <c r="C26" t="s">
        <v>285</v>
      </c>
    </row>
    <row r="27" spans="1:3" x14ac:dyDescent="0.25">
      <c r="A27" s="6" t="s">
        <v>243</v>
      </c>
      <c r="B27" t="s">
        <v>64</v>
      </c>
      <c r="C27" t="s">
        <v>286</v>
      </c>
    </row>
    <row r="28" spans="1:3" x14ac:dyDescent="0.25">
      <c r="A28" s="6" t="s">
        <v>244</v>
      </c>
      <c r="B28" t="s">
        <v>75</v>
      </c>
      <c r="C28" t="s">
        <v>287</v>
      </c>
    </row>
    <row r="29" spans="1:3" x14ac:dyDescent="0.25">
      <c r="A29" s="6" t="s">
        <v>245</v>
      </c>
      <c r="B29" t="s">
        <v>79</v>
      </c>
      <c r="C29" t="s">
        <v>288</v>
      </c>
    </row>
    <row r="30" spans="1:3" x14ac:dyDescent="0.25">
      <c r="A30" s="6" t="s">
        <v>246</v>
      </c>
      <c r="B30" t="s">
        <v>80</v>
      </c>
      <c r="C30" t="s">
        <v>289</v>
      </c>
    </row>
    <row r="31" spans="1:3" x14ac:dyDescent="0.25">
      <c r="A31" s="6" t="s">
        <v>247</v>
      </c>
      <c r="B31" t="s">
        <v>91</v>
      </c>
      <c r="C31" t="s">
        <v>290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BB204-B99B-437C-BBE1-32BE485C06BA}">
  <sheetPr codeName="ShDASH"/>
  <dimension ref="A4:XEB115"/>
  <sheetViews>
    <sheetView showGridLines="0" topLeftCell="A7" zoomScale="90" zoomScaleNormal="90" workbookViewId="0">
      <selection activeCell="E14" sqref="E14"/>
    </sheetView>
  </sheetViews>
  <sheetFormatPr defaultRowHeight="15" x14ac:dyDescent="0.25"/>
  <cols>
    <col min="1" max="1" width="24.85546875" bestFit="1" customWidth="1"/>
    <col min="2" max="2" width="21" bestFit="1" customWidth="1"/>
    <col min="3" max="3" width="18.140625" bestFit="1" customWidth="1"/>
    <col min="4" max="4" width="22.5703125" bestFit="1" customWidth="1"/>
    <col min="5" max="6" width="14.140625" bestFit="1" customWidth="1"/>
    <col min="7" max="7" width="11.28515625" bestFit="1" customWidth="1"/>
    <col min="8" max="8" width="14.85546875" bestFit="1" customWidth="1"/>
    <col min="9" max="9" width="14.140625" bestFit="1" customWidth="1"/>
    <col min="10" max="10" width="29.85546875" bestFit="1" customWidth="1"/>
    <col min="11" max="11" width="14.140625" bestFit="1" customWidth="1"/>
    <col min="12" max="12" width="26.140625" bestFit="1" customWidth="1"/>
    <col min="13" max="13" width="20" bestFit="1" customWidth="1"/>
    <col min="14" max="15" width="29.85546875" bestFit="1" customWidth="1"/>
    <col min="16" max="16" width="18.140625" bestFit="1" customWidth="1"/>
    <col min="17" max="17" width="14.85546875" bestFit="1" customWidth="1"/>
    <col min="18" max="18" width="21" bestFit="1" customWidth="1"/>
    <col min="19" max="21" width="29.85546875" bestFit="1" customWidth="1"/>
    <col min="16352" max="16352" width="21" bestFit="1" customWidth="1"/>
    <col min="16353" max="16353" width="20" bestFit="1" customWidth="1"/>
    <col min="16354" max="16354" width="18.140625" bestFit="1" customWidth="1"/>
    <col min="16355" max="16355" width="23.42578125" bestFit="1" customWidth="1"/>
    <col min="16356" max="16356" width="21.7109375" bestFit="1" customWidth="1"/>
  </cols>
  <sheetData>
    <row r="4" spans="1:21 16351:16356" x14ac:dyDescent="0.25">
      <c r="L4" s="3" t="s">
        <v>2</v>
      </c>
      <c r="M4" t="s">
        <v>253</v>
      </c>
      <c r="N4" t="s">
        <v>256</v>
      </c>
      <c r="O4" t="s">
        <v>250</v>
      </c>
    </row>
    <row r="5" spans="1:21 16351:16356" x14ac:dyDescent="0.25">
      <c r="L5" t="s">
        <v>257</v>
      </c>
      <c r="M5" s="7">
        <v>1417</v>
      </c>
      <c r="N5" s="7">
        <v>194.29999999999998</v>
      </c>
      <c r="O5" s="7">
        <v>1779.2000000000003</v>
      </c>
    </row>
    <row r="6" spans="1:21 16351:16356" x14ac:dyDescent="0.25">
      <c r="L6" t="s">
        <v>299</v>
      </c>
      <c r="M6" s="7">
        <v>1448</v>
      </c>
      <c r="N6" s="7">
        <v>329.99</v>
      </c>
      <c r="O6" s="7">
        <v>2082.4900000000002</v>
      </c>
    </row>
    <row r="7" spans="1:21 16351:16356" x14ac:dyDescent="0.25">
      <c r="L7" t="s">
        <v>258</v>
      </c>
      <c r="M7" s="7">
        <v>1614</v>
      </c>
      <c r="N7" s="7">
        <v>306.29000000000002</v>
      </c>
      <c r="O7" s="7">
        <v>2398.11</v>
      </c>
    </row>
    <row r="8" spans="1:21 16351:16356" x14ac:dyDescent="0.25">
      <c r="L8" t="s">
        <v>249</v>
      </c>
      <c r="M8" s="7">
        <v>4479</v>
      </c>
      <c r="N8" s="7">
        <v>830.57999999999993</v>
      </c>
      <c r="O8" s="7">
        <v>6259.8000000000011</v>
      </c>
    </row>
    <row r="10" spans="1:21 16351:16356" x14ac:dyDescent="0.25">
      <c r="G10" s="4"/>
      <c r="H10" s="4"/>
      <c r="I10" s="4"/>
      <c r="J10" s="4"/>
    </row>
    <row r="11" spans="1:21 16351:16356" x14ac:dyDescent="0.25">
      <c r="H11" s="5"/>
      <c r="J11" s="5"/>
    </row>
    <row r="14" spans="1:21 16351:16356" x14ac:dyDescent="0.25">
      <c r="A14" s="3" t="s">
        <v>0</v>
      </c>
      <c r="B14" s="3" t="s">
        <v>1</v>
      </c>
      <c r="C14" t="s">
        <v>251</v>
      </c>
      <c r="D14" t="s">
        <v>252</v>
      </c>
      <c r="E14" t="s">
        <v>250</v>
      </c>
      <c r="G14" s="3" t="s">
        <v>0</v>
      </c>
      <c r="H14" s="3" t="s">
        <v>1</v>
      </c>
      <c r="I14" t="s">
        <v>251</v>
      </c>
      <c r="J14" t="s">
        <v>256</v>
      </c>
      <c r="L14" s="3" t="s">
        <v>0</v>
      </c>
      <c r="M14" s="3" t="s">
        <v>1</v>
      </c>
      <c r="N14" t="s">
        <v>252</v>
      </c>
      <c r="O14" t="s">
        <v>256</v>
      </c>
      <c r="Q14" s="3" t="s">
        <v>0</v>
      </c>
      <c r="R14" s="3" t="s">
        <v>1</v>
      </c>
      <c r="S14" s="3" t="s">
        <v>3</v>
      </c>
      <c r="T14" t="s">
        <v>253</v>
      </c>
      <c r="U14" t="s">
        <v>256</v>
      </c>
      <c r="XDW14" s="3" t="s">
        <v>0</v>
      </c>
      <c r="XDX14" s="3" t="s">
        <v>1</v>
      </c>
      <c r="XDY14" t="s">
        <v>253</v>
      </c>
      <c r="XDZ14" t="s">
        <v>251</v>
      </c>
      <c r="XEA14" t="s">
        <v>254</v>
      </c>
      <c r="XEB14" t="s">
        <v>255</v>
      </c>
    </row>
    <row r="15" spans="1:21 16351:16356" x14ac:dyDescent="0.25">
      <c r="A15" t="s">
        <v>10</v>
      </c>
      <c r="B15" t="s">
        <v>219</v>
      </c>
      <c r="C15" s="7">
        <v>2</v>
      </c>
      <c r="D15" s="7">
        <v>10</v>
      </c>
      <c r="E15" s="7">
        <v>109.02</v>
      </c>
      <c r="G15" t="s">
        <v>11</v>
      </c>
      <c r="H15" t="s">
        <v>220</v>
      </c>
      <c r="I15" s="7">
        <v>18</v>
      </c>
      <c r="J15" s="7">
        <v>22.62</v>
      </c>
      <c r="L15" t="s">
        <v>10</v>
      </c>
      <c r="M15" t="s">
        <v>219</v>
      </c>
      <c r="N15" s="7">
        <v>10</v>
      </c>
      <c r="O15" s="7">
        <v>12.68</v>
      </c>
      <c r="Q15" t="s">
        <v>10</v>
      </c>
      <c r="R15" t="s">
        <v>219</v>
      </c>
      <c r="S15" t="s">
        <v>115</v>
      </c>
      <c r="T15" s="7">
        <v>112</v>
      </c>
      <c r="U15" s="7">
        <v>12.68</v>
      </c>
      <c r="XDW15" t="s">
        <v>10</v>
      </c>
      <c r="XDX15" t="s">
        <v>219</v>
      </c>
      <c r="XDY15" s="7">
        <v>112</v>
      </c>
      <c r="XDZ15" s="7">
        <v>2</v>
      </c>
      <c r="XEA15" s="7">
        <v>112</v>
      </c>
      <c r="XEB15" s="7">
        <v>2</v>
      </c>
    </row>
    <row r="16" spans="1:21 16351:16356" x14ac:dyDescent="0.25">
      <c r="A16" t="s">
        <v>11</v>
      </c>
      <c r="B16" t="s">
        <v>220</v>
      </c>
      <c r="C16" s="7">
        <v>18</v>
      </c>
      <c r="D16" s="7">
        <v>10</v>
      </c>
      <c r="E16" s="7">
        <v>183.54</v>
      </c>
      <c r="G16" t="s">
        <v>13</v>
      </c>
      <c r="H16" t="s">
        <v>222</v>
      </c>
      <c r="I16" s="7">
        <v>14</v>
      </c>
      <c r="J16" s="7">
        <v>32.479999999999997</v>
      </c>
      <c r="L16" t="s">
        <v>11</v>
      </c>
      <c r="M16" t="s">
        <v>220</v>
      </c>
      <c r="N16" s="7">
        <v>10</v>
      </c>
      <c r="O16" s="7">
        <v>22.62</v>
      </c>
      <c r="Q16" t="s">
        <v>11</v>
      </c>
      <c r="R16" t="s">
        <v>220</v>
      </c>
      <c r="S16" t="s">
        <v>116</v>
      </c>
      <c r="T16" s="7">
        <v>194</v>
      </c>
      <c r="U16" s="7">
        <v>22.62</v>
      </c>
      <c r="XDW16" t="s">
        <v>11</v>
      </c>
      <c r="XDX16" t="s">
        <v>220</v>
      </c>
      <c r="XDY16" s="7">
        <v>194</v>
      </c>
      <c r="XDZ16" s="7">
        <v>18</v>
      </c>
      <c r="XEA16" s="7">
        <v>194</v>
      </c>
      <c r="XEB16" s="7">
        <v>18</v>
      </c>
    </row>
    <row r="17" spans="1:21 16351:16356" x14ac:dyDescent="0.25">
      <c r="A17" t="s">
        <v>12</v>
      </c>
      <c r="B17" t="s">
        <v>221</v>
      </c>
      <c r="C17" s="7">
        <v>0</v>
      </c>
      <c r="D17" s="7">
        <v>8</v>
      </c>
      <c r="E17" s="7">
        <v>132.08000000000001</v>
      </c>
      <c r="G17" t="s">
        <v>16</v>
      </c>
      <c r="H17" t="s">
        <v>223</v>
      </c>
      <c r="I17" s="7">
        <v>10</v>
      </c>
      <c r="J17" s="7">
        <v>15.67</v>
      </c>
      <c r="L17" t="s">
        <v>12</v>
      </c>
      <c r="M17" t="s">
        <v>221</v>
      </c>
      <c r="N17" s="7">
        <v>8</v>
      </c>
      <c r="O17" s="7">
        <v>7.36</v>
      </c>
      <c r="Q17" t="s">
        <v>12</v>
      </c>
      <c r="R17" t="s">
        <v>221</v>
      </c>
      <c r="S17" t="s">
        <v>115</v>
      </c>
      <c r="T17" s="7">
        <v>38</v>
      </c>
      <c r="U17" s="7">
        <v>7.36</v>
      </c>
      <c r="XDW17" t="s">
        <v>12</v>
      </c>
      <c r="XDX17" t="s">
        <v>221</v>
      </c>
      <c r="XDY17" s="7">
        <v>38</v>
      </c>
      <c r="XDZ17" s="7">
        <v>0</v>
      </c>
      <c r="XEA17" s="7">
        <v>38</v>
      </c>
      <c r="XEB17" s="7">
        <v>0</v>
      </c>
    </row>
    <row r="18" spans="1:21 16351:16356" x14ac:dyDescent="0.25">
      <c r="A18" t="s">
        <v>13</v>
      </c>
      <c r="B18" t="s">
        <v>222</v>
      </c>
      <c r="C18" s="7">
        <v>14</v>
      </c>
      <c r="D18" s="7">
        <v>2</v>
      </c>
      <c r="E18" s="7">
        <v>118.66</v>
      </c>
      <c r="G18" t="s">
        <v>51</v>
      </c>
      <c r="H18" t="s">
        <v>240</v>
      </c>
      <c r="I18" s="7">
        <v>10</v>
      </c>
      <c r="J18" s="7">
        <v>5.74</v>
      </c>
      <c r="L18" t="s">
        <v>249</v>
      </c>
      <c r="N18" s="7">
        <v>28</v>
      </c>
      <c r="O18" s="7">
        <v>42.66</v>
      </c>
      <c r="Q18" t="s">
        <v>13</v>
      </c>
      <c r="R18" t="s">
        <v>222</v>
      </c>
      <c r="S18" t="s">
        <v>115</v>
      </c>
      <c r="T18" s="7">
        <v>152</v>
      </c>
      <c r="U18" s="7">
        <v>32.479999999999997</v>
      </c>
      <c r="XDW18" t="s">
        <v>13</v>
      </c>
      <c r="XDX18" t="s">
        <v>222</v>
      </c>
      <c r="XDY18" s="7">
        <v>152</v>
      </c>
      <c r="XDZ18" s="7">
        <v>14</v>
      </c>
      <c r="XEA18" s="7">
        <v>152</v>
      </c>
      <c r="XEB18" s="7">
        <v>14</v>
      </c>
    </row>
    <row r="19" spans="1:21 16351:16356" x14ac:dyDescent="0.25">
      <c r="A19" t="s">
        <v>14</v>
      </c>
      <c r="B19" t="s">
        <v>248</v>
      </c>
      <c r="C19" s="7">
        <v>0</v>
      </c>
      <c r="D19" s="7">
        <v>2</v>
      </c>
      <c r="E19" s="7">
        <v>104.08</v>
      </c>
      <c r="G19" t="s">
        <v>249</v>
      </c>
      <c r="I19" s="7">
        <v>52</v>
      </c>
      <c r="J19" s="7">
        <v>76.509999999999991</v>
      </c>
      <c r="Q19" t="s">
        <v>14</v>
      </c>
      <c r="R19" t="s">
        <v>248</v>
      </c>
      <c r="S19" t="s">
        <v>117</v>
      </c>
      <c r="T19" s="7">
        <v>130</v>
      </c>
      <c r="U19" s="7">
        <v>4.84</v>
      </c>
      <c r="XDW19" t="s">
        <v>14</v>
      </c>
      <c r="XDX19" t="s">
        <v>248</v>
      </c>
      <c r="XDY19" s="7">
        <v>130</v>
      </c>
      <c r="XDZ19" s="7">
        <v>0</v>
      </c>
      <c r="XEA19" s="7">
        <v>130</v>
      </c>
      <c r="XEB19" s="7">
        <v>0</v>
      </c>
    </row>
    <row r="20" spans="1:21 16351:16356" x14ac:dyDescent="0.25">
      <c r="A20" t="s">
        <v>15</v>
      </c>
      <c r="B20" t="s">
        <v>223</v>
      </c>
      <c r="C20" s="7">
        <v>8</v>
      </c>
      <c r="D20" s="7">
        <v>5</v>
      </c>
      <c r="E20" s="7">
        <v>79.540000000000006</v>
      </c>
      <c r="Q20" t="s">
        <v>15</v>
      </c>
      <c r="R20" t="s">
        <v>223</v>
      </c>
      <c r="S20" t="s">
        <v>115</v>
      </c>
      <c r="T20" s="7">
        <v>25</v>
      </c>
      <c r="U20" s="7">
        <v>19.75</v>
      </c>
      <c r="XDW20" t="s">
        <v>15</v>
      </c>
      <c r="XDX20" t="s">
        <v>223</v>
      </c>
      <c r="XDY20" s="7">
        <v>25</v>
      </c>
      <c r="XDZ20" s="7">
        <v>8</v>
      </c>
      <c r="XEA20" s="7">
        <v>25</v>
      </c>
      <c r="XEB20" s="7">
        <v>8</v>
      </c>
    </row>
    <row r="21" spans="1:21 16351:16356" x14ac:dyDescent="0.25">
      <c r="A21" t="s">
        <v>16</v>
      </c>
      <c r="B21" t="s">
        <v>223</v>
      </c>
      <c r="C21" s="7">
        <v>10</v>
      </c>
      <c r="D21" s="7">
        <v>4</v>
      </c>
      <c r="E21" s="7">
        <v>83.88</v>
      </c>
      <c r="Q21" t="s">
        <v>16</v>
      </c>
      <c r="R21" t="s">
        <v>223</v>
      </c>
      <c r="S21" t="s">
        <v>116</v>
      </c>
      <c r="T21" s="7">
        <v>87</v>
      </c>
      <c r="U21" s="7">
        <v>15.67</v>
      </c>
      <c r="XDW21" t="s">
        <v>16</v>
      </c>
      <c r="XDX21" t="s">
        <v>223</v>
      </c>
      <c r="XDY21" s="7">
        <v>87</v>
      </c>
      <c r="XDZ21" s="7">
        <v>10</v>
      </c>
      <c r="XEA21" s="7">
        <v>87</v>
      </c>
      <c r="XEB21" s="7">
        <v>10</v>
      </c>
    </row>
    <row r="22" spans="1:21 16351:16356" x14ac:dyDescent="0.25">
      <c r="A22" t="s">
        <v>17</v>
      </c>
      <c r="B22" t="s">
        <v>224</v>
      </c>
      <c r="C22" s="7">
        <v>5</v>
      </c>
      <c r="D22" s="7">
        <v>3</v>
      </c>
      <c r="E22" s="7">
        <v>50.83</v>
      </c>
      <c r="Q22" t="s">
        <v>17</v>
      </c>
      <c r="R22" t="s">
        <v>224</v>
      </c>
      <c r="S22" t="s">
        <v>117</v>
      </c>
      <c r="T22" s="7">
        <v>91</v>
      </c>
      <c r="U22" s="7">
        <v>4.78</v>
      </c>
      <c r="XDW22" t="s">
        <v>17</v>
      </c>
      <c r="XDX22" t="s">
        <v>224</v>
      </c>
      <c r="XDY22" s="7">
        <v>91</v>
      </c>
      <c r="XDZ22" s="7">
        <v>5</v>
      </c>
      <c r="XEA22" s="7">
        <v>91</v>
      </c>
      <c r="XEB22" s="7">
        <v>5</v>
      </c>
    </row>
    <row r="23" spans="1:21 16351:16356" x14ac:dyDescent="0.25">
      <c r="A23" t="s">
        <v>18</v>
      </c>
      <c r="B23" t="s">
        <v>222</v>
      </c>
      <c r="C23" s="7">
        <v>6</v>
      </c>
      <c r="D23" s="7">
        <v>1</v>
      </c>
      <c r="E23" s="7">
        <v>75.599999999999994</v>
      </c>
      <c r="Q23" t="s">
        <v>18</v>
      </c>
      <c r="R23" t="s">
        <v>222</v>
      </c>
      <c r="S23" t="s">
        <v>118</v>
      </c>
      <c r="T23" s="7">
        <v>79</v>
      </c>
      <c r="U23" s="7">
        <v>1.1000000000000001</v>
      </c>
      <c r="XDW23" t="s">
        <v>18</v>
      </c>
      <c r="XDX23" t="s">
        <v>222</v>
      </c>
      <c r="XDY23" s="7">
        <v>79</v>
      </c>
      <c r="XDZ23" s="7">
        <v>6</v>
      </c>
      <c r="XEA23" s="7">
        <v>79</v>
      </c>
      <c r="XEB23" s="7">
        <v>6</v>
      </c>
    </row>
    <row r="24" spans="1:21 16351:16356" x14ac:dyDescent="0.25">
      <c r="A24" t="s">
        <v>19</v>
      </c>
      <c r="B24" t="s">
        <v>220</v>
      </c>
      <c r="C24" s="7">
        <v>9</v>
      </c>
      <c r="D24" s="7">
        <v>3</v>
      </c>
      <c r="E24" s="7">
        <v>61.32</v>
      </c>
      <c r="Q24" t="s">
        <v>19</v>
      </c>
      <c r="R24" t="s">
        <v>220</v>
      </c>
      <c r="S24" t="s">
        <v>116</v>
      </c>
      <c r="T24" s="7">
        <v>79</v>
      </c>
      <c r="U24" s="7">
        <v>16.489999999999998</v>
      </c>
      <c r="XDW24" t="s">
        <v>19</v>
      </c>
      <c r="XDX24" t="s">
        <v>220</v>
      </c>
      <c r="XDY24" s="7">
        <v>79</v>
      </c>
      <c r="XDZ24" s="7">
        <v>9</v>
      </c>
      <c r="XEA24" s="7">
        <v>79</v>
      </c>
      <c r="XEB24" s="7">
        <v>9</v>
      </c>
    </row>
    <row r="25" spans="1:21 16351:16356" x14ac:dyDescent="0.25">
      <c r="A25" t="s">
        <v>20</v>
      </c>
      <c r="B25" t="s">
        <v>225</v>
      </c>
      <c r="C25" s="7">
        <v>6</v>
      </c>
      <c r="D25" s="7">
        <v>1</v>
      </c>
      <c r="E25" s="7">
        <v>82.26</v>
      </c>
      <c r="Q25" t="s">
        <v>20</v>
      </c>
      <c r="R25" t="s">
        <v>225</v>
      </c>
      <c r="S25" t="s">
        <v>116</v>
      </c>
      <c r="T25" s="7">
        <v>92</v>
      </c>
      <c r="U25" s="7">
        <v>14.43</v>
      </c>
      <c r="XDW25" t="s">
        <v>20</v>
      </c>
      <c r="XDX25" t="s">
        <v>225</v>
      </c>
      <c r="XDY25" s="7">
        <v>92</v>
      </c>
      <c r="XDZ25" s="7">
        <v>6</v>
      </c>
      <c r="XEA25" s="7">
        <v>92</v>
      </c>
      <c r="XEB25" s="7">
        <v>6</v>
      </c>
    </row>
    <row r="26" spans="1:21 16351:16356" x14ac:dyDescent="0.25">
      <c r="A26" t="s">
        <v>21</v>
      </c>
      <c r="B26" t="s">
        <v>222</v>
      </c>
      <c r="C26" s="7">
        <v>9</v>
      </c>
      <c r="D26" s="7">
        <v>1</v>
      </c>
      <c r="E26" s="7">
        <v>58.72</v>
      </c>
      <c r="Q26" t="s">
        <v>21</v>
      </c>
      <c r="R26" t="s">
        <v>222</v>
      </c>
      <c r="S26" t="s">
        <v>118</v>
      </c>
      <c r="T26" s="7">
        <v>28</v>
      </c>
      <c r="U26" s="7">
        <v>14.85</v>
      </c>
      <c r="XDW26" t="s">
        <v>21</v>
      </c>
      <c r="XDX26" t="s">
        <v>222</v>
      </c>
      <c r="XDY26" s="7">
        <v>28</v>
      </c>
      <c r="XDZ26" s="7">
        <v>9</v>
      </c>
      <c r="XEA26" s="7">
        <v>28</v>
      </c>
      <c r="XEB26" s="7">
        <v>9</v>
      </c>
    </row>
    <row r="27" spans="1:21 16351:16356" x14ac:dyDescent="0.25">
      <c r="A27" t="s">
        <v>22</v>
      </c>
      <c r="B27" t="s">
        <v>226</v>
      </c>
      <c r="C27" s="7">
        <v>2</v>
      </c>
      <c r="D27" s="7">
        <v>2</v>
      </c>
      <c r="E27" s="7">
        <v>84.55</v>
      </c>
      <c r="G27" s="3" t="s">
        <v>0</v>
      </c>
      <c r="H27" s="3" t="s">
        <v>1</v>
      </c>
      <c r="I27" t="s">
        <v>250</v>
      </c>
      <c r="J27" t="s">
        <v>256</v>
      </c>
      <c r="L27" s="3" t="s">
        <v>0</v>
      </c>
      <c r="M27" s="3" t="s">
        <v>1</v>
      </c>
      <c r="N27" t="s">
        <v>250</v>
      </c>
      <c r="O27" t="s">
        <v>256</v>
      </c>
      <c r="Q27" t="s">
        <v>22</v>
      </c>
      <c r="R27" t="s">
        <v>226</v>
      </c>
      <c r="S27" t="s">
        <v>116</v>
      </c>
      <c r="T27" s="7">
        <v>7</v>
      </c>
      <c r="U27" s="7">
        <v>15.65</v>
      </c>
      <c r="XDW27" t="s">
        <v>22</v>
      </c>
      <c r="XDX27" t="s">
        <v>226</v>
      </c>
      <c r="XDY27" s="7">
        <v>7</v>
      </c>
      <c r="XDZ27" s="7">
        <v>2</v>
      </c>
      <c r="XEA27" s="7">
        <v>7</v>
      </c>
      <c r="XEB27" s="7">
        <v>2</v>
      </c>
    </row>
    <row r="28" spans="1:21 16351:16356" x14ac:dyDescent="0.25">
      <c r="A28" t="s">
        <v>23</v>
      </c>
      <c r="B28" t="s">
        <v>227</v>
      </c>
      <c r="C28" s="7">
        <v>1</v>
      </c>
      <c r="D28" s="7">
        <v>1</v>
      </c>
      <c r="E28" s="7">
        <v>69.34</v>
      </c>
      <c r="G28" t="s">
        <v>11</v>
      </c>
      <c r="H28" t="s">
        <v>220</v>
      </c>
      <c r="I28" s="7">
        <v>183.54</v>
      </c>
      <c r="J28" s="7">
        <v>22.62</v>
      </c>
      <c r="L28" t="s">
        <v>51</v>
      </c>
      <c r="M28" t="s">
        <v>240</v>
      </c>
      <c r="N28" s="7">
        <v>50.46</v>
      </c>
      <c r="O28" s="7">
        <v>5.74</v>
      </c>
      <c r="Q28" t="s">
        <v>23</v>
      </c>
      <c r="R28" t="s">
        <v>227</v>
      </c>
      <c r="S28" t="s">
        <v>118</v>
      </c>
      <c r="T28" s="7">
        <v>26</v>
      </c>
      <c r="U28" s="7">
        <v>2.41</v>
      </c>
      <c r="XDW28" t="s">
        <v>23</v>
      </c>
      <c r="XDX28" t="s">
        <v>227</v>
      </c>
      <c r="XDY28" s="7">
        <v>26</v>
      </c>
      <c r="XDZ28" s="7">
        <v>1</v>
      </c>
      <c r="XEA28" s="7">
        <v>26</v>
      </c>
      <c r="XEB28" s="7">
        <v>1</v>
      </c>
    </row>
    <row r="29" spans="1:21 16351:16356" x14ac:dyDescent="0.25">
      <c r="A29" t="s">
        <v>24</v>
      </c>
      <c r="B29" t="s">
        <v>228</v>
      </c>
      <c r="C29" s="7">
        <v>8</v>
      </c>
      <c r="D29" s="7">
        <v>0</v>
      </c>
      <c r="E29" s="7">
        <v>96.84</v>
      </c>
      <c r="G29" t="s">
        <v>12</v>
      </c>
      <c r="H29" t="s">
        <v>221</v>
      </c>
      <c r="I29" s="7">
        <v>132.08000000000001</v>
      </c>
      <c r="J29" s="7">
        <v>7.36</v>
      </c>
      <c r="L29" t="s">
        <v>54</v>
      </c>
      <c r="M29" t="s">
        <v>300</v>
      </c>
      <c r="N29" s="7">
        <v>50.25</v>
      </c>
      <c r="O29" s="7">
        <v>5.35</v>
      </c>
      <c r="Q29" t="s">
        <v>24</v>
      </c>
      <c r="R29" t="s">
        <v>228</v>
      </c>
      <c r="S29" t="s">
        <v>118</v>
      </c>
      <c r="T29" s="7">
        <v>57</v>
      </c>
      <c r="U29" s="7">
        <v>7.81</v>
      </c>
      <c r="XDW29" t="s">
        <v>24</v>
      </c>
      <c r="XDX29" t="s">
        <v>228</v>
      </c>
      <c r="XDY29" s="7">
        <v>57</v>
      </c>
      <c r="XDZ29" s="7">
        <v>8</v>
      </c>
      <c r="XEA29" s="7">
        <v>57</v>
      </c>
      <c r="XEB29" s="7">
        <v>8</v>
      </c>
    </row>
    <row r="30" spans="1:21 16351:16356" x14ac:dyDescent="0.25">
      <c r="A30" t="s">
        <v>25</v>
      </c>
      <c r="B30" t="s">
        <v>229</v>
      </c>
      <c r="C30" s="7">
        <v>7</v>
      </c>
      <c r="D30" s="7">
        <v>4</v>
      </c>
      <c r="E30" s="7">
        <v>56.88</v>
      </c>
      <c r="G30" t="s">
        <v>13</v>
      </c>
      <c r="H30" t="s">
        <v>222</v>
      </c>
      <c r="I30" s="7">
        <v>118.66</v>
      </c>
      <c r="J30" s="7">
        <v>32.479999999999997</v>
      </c>
      <c r="L30" t="s">
        <v>90</v>
      </c>
      <c r="M30" t="s">
        <v>231</v>
      </c>
      <c r="N30" s="7">
        <v>50.77</v>
      </c>
      <c r="O30" s="7">
        <v>6.41</v>
      </c>
      <c r="Q30" t="s">
        <v>25</v>
      </c>
      <c r="R30" t="s">
        <v>229</v>
      </c>
      <c r="S30" t="s">
        <v>116</v>
      </c>
      <c r="T30" s="7">
        <v>6</v>
      </c>
      <c r="U30" s="7">
        <v>3.2</v>
      </c>
      <c r="XDW30" t="s">
        <v>25</v>
      </c>
      <c r="XDX30" t="s">
        <v>229</v>
      </c>
      <c r="XDY30" s="7">
        <v>6</v>
      </c>
      <c r="XDZ30" s="7">
        <v>7</v>
      </c>
      <c r="XEA30" s="7">
        <v>6</v>
      </c>
      <c r="XEB30" s="7">
        <v>7</v>
      </c>
    </row>
    <row r="31" spans="1:21 16351:16356" x14ac:dyDescent="0.25">
      <c r="A31" t="s">
        <v>26</v>
      </c>
      <c r="B31" t="s">
        <v>230</v>
      </c>
      <c r="C31" s="7">
        <v>9</v>
      </c>
      <c r="D31" s="7">
        <v>4</v>
      </c>
      <c r="E31" s="7">
        <v>67.05</v>
      </c>
      <c r="G31" t="s">
        <v>249</v>
      </c>
      <c r="I31" s="7">
        <v>434.28</v>
      </c>
      <c r="J31" s="7">
        <v>62.459999999999994</v>
      </c>
      <c r="L31" t="s">
        <v>249</v>
      </c>
      <c r="N31" s="7">
        <v>151.48000000000002</v>
      </c>
      <c r="O31" s="7">
        <v>17.5</v>
      </c>
      <c r="Q31" t="s">
        <v>26</v>
      </c>
      <c r="R31" t="s">
        <v>230</v>
      </c>
      <c r="S31" t="s">
        <v>115</v>
      </c>
      <c r="T31" s="7">
        <v>92</v>
      </c>
      <c r="U31" s="7">
        <v>17.399999999999999</v>
      </c>
      <c r="XDW31" t="s">
        <v>26</v>
      </c>
      <c r="XDX31" t="s">
        <v>230</v>
      </c>
      <c r="XDY31" s="7">
        <v>92</v>
      </c>
      <c r="XDZ31" s="7">
        <v>9</v>
      </c>
      <c r="XEA31" s="7">
        <v>92</v>
      </c>
      <c r="XEB31" s="7">
        <v>9</v>
      </c>
    </row>
    <row r="32" spans="1:21 16351:16356" x14ac:dyDescent="0.25">
      <c r="A32" t="s">
        <v>27</v>
      </c>
      <c r="B32" t="s">
        <v>231</v>
      </c>
      <c r="C32" s="7">
        <v>6</v>
      </c>
      <c r="D32" s="7">
        <v>3</v>
      </c>
      <c r="E32" s="7">
        <v>55.67</v>
      </c>
      <c r="Q32" t="s">
        <v>27</v>
      </c>
      <c r="R32" t="s">
        <v>231</v>
      </c>
      <c r="S32" t="s">
        <v>115</v>
      </c>
      <c r="T32" s="7">
        <v>34</v>
      </c>
      <c r="U32" s="7">
        <v>12.84</v>
      </c>
      <c r="XDW32" t="s">
        <v>27</v>
      </c>
      <c r="XDX32" t="s">
        <v>231</v>
      </c>
      <c r="XDY32" s="7">
        <v>34</v>
      </c>
      <c r="XDZ32" s="7">
        <v>6</v>
      </c>
      <c r="XEA32" s="7">
        <v>34</v>
      </c>
      <c r="XEB32" s="7">
        <v>6</v>
      </c>
    </row>
    <row r="33" spans="1:21 16351:16356" x14ac:dyDescent="0.25">
      <c r="A33" t="s">
        <v>28</v>
      </c>
      <c r="B33" t="s">
        <v>221</v>
      </c>
      <c r="C33" s="7">
        <v>8</v>
      </c>
      <c r="D33" s="7">
        <v>1</v>
      </c>
      <c r="E33" s="7">
        <v>96.23</v>
      </c>
      <c r="Q33" t="s">
        <v>28</v>
      </c>
      <c r="R33" t="s">
        <v>221</v>
      </c>
      <c r="S33" t="s">
        <v>118</v>
      </c>
      <c r="T33" s="7">
        <v>42</v>
      </c>
      <c r="U33" s="7">
        <v>7.29</v>
      </c>
      <c r="XDW33" t="s">
        <v>28</v>
      </c>
      <c r="XDX33" t="s">
        <v>221</v>
      </c>
      <c r="XDY33" s="7">
        <v>42</v>
      </c>
      <c r="XDZ33" s="7">
        <v>8</v>
      </c>
      <c r="XEA33" s="7">
        <v>42</v>
      </c>
      <c r="XEB33" s="7">
        <v>8</v>
      </c>
    </row>
    <row r="34" spans="1:21 16351:16356" x14ac:dyDescent="0.25">
      <c r="A34" t="s">
        <v>29</v>
      </c>
      <c r="B34" t="s">
        <v>228</v>
      </c>
      <c r="C34" s="7">
        <v>3</v>
      </c>
      <c r="D34" s="7">
        <v>0</v>
      </c>
      <c r="E34" s="7">
        <v>93.87</v>
      </c>
      <c r="Q34" t="s">
        <v>29</v>
      </c>
      <c r="R34" t="s">
        <v>228</v>
      </c>
      <c r="S34" t="s">
        <v>117</v>
      </c>
      <c r="T34" s="7">
        <v>6</v>
      </c>
      <c r="U34" s="7">
        <v>2.21</v>
      </c>
      <c r="XDW34" t="s">
        <v>29</v>
      </c>
      <c r="XDX34" t="s">
        <v>228</v>
      </c>
      <c r="XDY34" s="7">
        <v>6</v>
      </c>
      <c r="XDZ34" s="7">
        <v>3</v>
      </c>
      <c r="XEA34" s="7">
        <v>6</v>
      </c>
      <c r="XEB34" s="7">
        <v>3</v>
      </c>
    </row>
    <row r="35" spans="1:21 16351:16356" x14ac:dyDescent="0.25">
      <c r="A35" t="s">
        <v>30</v>
      </c>
      <c r="B35" t="s">
        <v>232</v>
      </c>
      <c r="C35" s="7">
        <v>3</v>
      </c>
      <c r="D35" s="7">
        <v>3</v>
      </c>
      <c r="E35" s="7">
        <v>62.9</v>
      </c>
      <c r="Q35" t="s">
        <v>30</v>
      </c>
      <c r="R35" t="s">
        <v>232</v>
      </c>
      <c r="S35" t="s">
        <v>118</v>
      </c>
      <c r="T35" s="7">
        <v>68</v>
      </c>
      <c r="U35" s="7">
        <v>6.91</v>
      </c>
      <c r="XDW35" t="s">
        <v>30</v>
      </c>
      <c r="XDX35" t="s">
        <v>232</v>
      </c>
      <c r="XDY35" s="7">
        <v>68</v>
      </c>
      <c r="XDZ35" s="7">
        <v>3</v>
      </c>
      <c r="XEA35" s="7">
        <v>68</v>
      </c>
      <c r="XEB35" s="7">
        <v>3</v>
      </c>
    </row>
    <row r="36" spans="1:21 16351:16356" x14ac:dyDescent="0.25">
      <c r="A36" t="s">
        <v>31</v>
      </c>
      <c r="B36" t="s">
        <v>223</v>
      </c>
      <c r="C36" s="7">
        <v>0</v>
      </c>
      <c r="D36" s="7">
        <v>2</v>
      </c>
      <c r="E36" s="7">
        <v>83</v>
      </c>
      <c r="Q36" t="s">
        <v>31</v>
      </c>
      <c r="R36" t="s">
        <v>223</v>
      </c>
      <c r="S36" t="s">
        <v>118</v>
      </c>
      <c r="T36" s="7">
        <v>64</v>
      </c>
      <c r="U36" s="7">
        <v>7.18</v>
      </c>
      <c r="XDW36" t="s">
        <v>31</v>
      </c>
      <c r="XDX36" t="s">
        <v>223</v>
      </c>
      <c r="XDY36" s="7">
        <v>64</v>
      </c>
      <c r="XDZ36" s="7">
        <v>0</v>
      </c>
      <c r="XEA36" s="7">
        <v>64</v>
      </c>
      <c r="XEB36" s="7">
        <v>0</v>
      </c>
    </row>
    <row r="37" spans="1:21 16351:16356" x14ac:dyDescent="0.25">
      <c r="A37" t="s">
        <v>32</v>
      </c>
      <c r="B37" t="s">
        <v>233</v>
      </c>
      <c r="C37" s="7">
        <v>7</v>
      </c>
      <c r="D37" s="7">
        <v>3</v>
      </c>
      <c r="E37" s="7">
        <v>90.86</v>
      </c>
      <c r="Q37" t="s">
        <v>32</v>
      </c>
      <c r="R37" t="s">
        <v>233</v>
      </c>
      <c r="S37" t="s">
        <v>118</v>
      </c>
      <c r="T37" s="7">
        <v>25</v>
      </c>
      <c r="U37" s="7">
        <v>14.86</v>
      </c>
      <c r="XDW37" t="s">
        <v>32</v>
      </c>
      <c r="XDX37" t="s">
        <v>233</v>
      </c>
      <c r="XDY37" s="7">
        <v>25</v>
      </c>
      <c r="XDZ37" s="7">
        <v>7</v>
      </c>
      <c r="XEA37" s="7">
        <v>25</v>
      </c>
      <c r="XEB37" s="7">
        <v>7</v>
      </c>
    </row>
    <row r="38" spans="1:21 16351:16356" x14ac:dyDescent="0.25">
      <c r="A38" t="s">
        <v>33</v>
      </c>
      <c r="B38" t="s">
        <v>234</v>
      </c>
      <c r="C38" s="7">
        <v>2</v>
      </c>
      <c r="D38" s="7">
        <v>3</v>
      </c>
      <c r="E38" s="7">
        <v>77.760000000000005</v>
      </c>
      <c r="Q38" t="s">
        <v>33</v>
      </c>
      <c r="R38" t="s">
        <v>234</v>
      </c>
      <c r="S38" t="s">
        <v>115</v>
      </c>
      <c r="T38" s="7">
        <v>37</v>
      </c>
      <c r="U38" s="7">
        <v>13.11</v>
      </c>
      <c r="XDW38" t="s">
        <v>33</v>
      </c>
      <c r="XDX38" t="s">
        <v>234</v>
      </c>
      <c r="XDY38" s="7">
        <v>37</v>
      </c>
      <c r="XDZ38" s="7">
        <v>2</v>
      </c>
      <c r="XEA38" s="7">
        <v>37</v>
      </c>
      <c r="XEB38" s="7">
        <v>2</v>
      </c>
    </row>
    <row r="39" spans="1:21 16351:16356" x14ac:dyDescent="0.25">
      <c r="A39" t="s">
        <v>34</v>
      </c>
      <c r="B39" t="s">
        <v>221</v>
      </c>
      <c r="C39" s="7">
        <v>6</v>
      </c>
      <c r="D39" s="7">
        <v>1</v>
      </c>
      <c r="E39" s="7">
        <v>76.48</v>
      </c>
      <c r="Q39" t="s">
        <v>34</v>
      </c>
      <c r="R39" t="s">
        <v>221</v>
      </c>
      <c r="S39" t="s">
        <v>115</v>
      </c>
      <c r="T39" s="7">
        <v>80</v>
      </c>
      <c r="U39" s="7">
        <v>17.86</v>
      </c>
      <c r="XDW39" t="s">
        <v>34</v>
      </c>
      <c r="XDX39" t="s">
        <v>221</v>
      </c>
      <c r="XDY39" s="7">
        <v>80</v>
      </c>
      <c r="XDZ39" s="7">
        <v>6</v>
      </c>
      <c r="XEA39" s="7">
        <v>80</v>
      </c>
      <c r="XEB39" s="7">
        <v>6</v>
      </c>
    </row>
    <row r="40" spans="1:21 16351:16356" x14ac:dyDescent="0.25">
      <c r="A40" t="s">
        <v>35</v>
      </c>
      <c r="B40" t="s">
        <v>227</v>
      </c>
      <c r="C40" s="7">
        <v>1</v>
      </c>
      <c r="D40" s="7">
        <v>2</v>
      </c>
      <c r="E40" s="7">
        <v>62.09</v>
      </c>
      <c r="Q40" t="s">
        <v>35</v>
      </c>
      <c r="R40" t="s">
        <v>227</v>
      </c>
      <c r="S40" t="s">
        <v>115</v>
      </c>
      <c r="T40" s="7">
        <v>62</v>
      </c>
      <c r="U40" s="7">
        <v>9.9700000000000006</v>
      </c>
      <c r="XDW40" t="s">
        <v>35</v>
      </c>
      <c r="XDX40" t="s">
        <v>227</v>
      </c>
      <c r="XDY40" s="7">
        <v>62</v>
      </c>
      <c r="XDZ40" s="7">
        <v>1</v>
      </c>
      <c r="XEA40" s="7">
        <v>62</v>
      </c>
      <c r="XEB40" s="7">
        <v>1</v>
      </c>
    </row>
    <row r="41" spans="1:21 16351:16356" x14ac:dyDescent="0.25">
      <c r="A41" t="s">
        <v>36</v>
      </c>
      <c r="B41" t="s">
        <v>232</v>
      </c>
      <c r="C41" s="7">
        <v>1</v>
      </c>
      <c r="D41" s="7">
        <v>3</v>
      </c>
      <c r="E41" s="7">
        <v>54.66</v>
      </c>
      <c r="Q41" t="s">
        <v>36</v>
      </c>
      <c r="R41" t="s">
        <v>232</v>
      </c>
      <c r="S41" t="s">
        <v>118</v>
      </c>
      <c r="T41" s="7">
        <v>26</v>
      </c>
      <c r="U41" s="7">
        <v>3.27</v>
      </c>
      <c r="XDW41" t="s">
        <v>36</v>
      </c>
      <c r="XDX41" t="s">
        <v>232</v>
      </c>
      <c r="XDY41" s="7">
        <v>26</v>
      </c>
      <c r="XDZ41" s="7">
        <v>1</v>
      </c>
      <c r="XEA41" s="7">
        <v>26</v>
      </c>
      <c r="XEB41" s="7">
        <v>1</v>
      </c>
    </row>
    <row r="42" spans="1:21 16351:16356" x14ac:dyDescent="0.25">
      <c r="A42" t="s">
        <v>37</v>
      </c>
      <c r="B42" t="s">
        <v>235</v>
      </c>
      <c r="C42" s="7">
        <v>6</v>
      </c>
      <c r="D42" s="7">
        <v>0</v>
      </c>
      <c r="E42" s="7">
        <v>94.86</v>
      </c>
      <c r="Q42" t="s">
        <v>37</v>
      </c>
      <c r="R42" t="s">
        <v>235</v>
      </c>
      <c r="S42" t="s">
        <v>117</v>
      </c>
      <c r="T42" s="7">
        <v>93</v>
      </c>
      <c r="U42" s="7">
        <v>14.55</v>
      </c>
      <c r="XDW42" t="s">
        <v>37</v>
      </c>
      <c r="XDX42" t="s">
        <v>235</v>
      </c>
      <c r="XDY42" s="7">
        <v>93</v>
      </c>
      <c r="XDZ42" s="7">
        <v>6</v>
      </c>
      <c r="XEA42" s="7">
        <v>93</v>
      </c>
      <c r="XEB42" s="7">
        <v>6</v>
      </c>
    </row>
    <row r="43" spans="1:21 16351:16356" x14ac:dyDescent="0.25">
      <c r="A43" t="s">
        <v>38</v>
      </c>
      <c r="B43" t="s">
        <v>219</v>
      </c>
      <c r="C43" s="7">
        <v>5</v>
      </c>
      <c r="D43" s="7">
        <v>0</v>
      </c>
      <c r="E43" s="7">
        <v>95.02</v>
      </c>
      <c r="Q43" t="s">
        <v>38</v>
      </c>
      <c r="R43" t="s">
        <v>219</v>
      </c>
      <c r="S43" t="s">
        <v>115</v>
      </c>
      <c r="T43" s="7">
        <v>53</v>
      </c>
      <c r="U43" s="7">
        <v>15.45</v>
      </c>
      <c r="XDW43" t="s">
        <v>38</v>
      </c>
      <c r="XDX43" t="s">
        <v>219</v>
      </c>
      <c r="XDY43" s="7">
        <v>53</v>
      </c>
      <c r="XDZ43" s="7">
        <v>5</v>
      </c>
      <c r="XEA43" s="7">
        <v>53</v>
      </c>
      <c r="XEB43" s="7">
        <v>5</v>
      </c>
    </row>
    <row r="44" spans="1:21 16351:16356" x14ac:dyDescent="0.25">
      <c r="A44" t="s">
        <v>39</v>
      </c>
      <c r="B44" t="s">
        <v>235</v>
      </c>
      <c r="C44" s="7">
        <v>2</v>
      </c>
      <c r="D44" s="7">
        <v>4</v>
      </c>
      <c r="E44" s="7">
        <v>81.66</v>
      </c>
      <c r="Q44" t="s">
        <v>39</v>
      </c>
      <c r="R44" t="s">
        <v>235</v>
      </c>
      <c r="S44" t="s">
        <v>116</v>
      </c>
      <c r="T44" s="7">
        <v>95</v>
      </c>
      <c r="U44" s="7">
        <v>11.66</v>
      </c>
      <c r="XDW44" t="s">
        <v>39</v>
      </c>
      <c r="XDX44" t="s">
        <v>235</v>
      </c>
      <c r="XDY44" s="7">
        <v>95</v>
      </c>
      <c r="XDZ44" s="7">
        <v>2</v>
      </c>
      <c r="XEA44" s="7">
        <v>95</v>
      </c>
      <c r="XEB44" s="7">
        <v>2</v>
      </c>
    </row>
    <row r="45" spans="1:21 16351:16356" x14ac:dyDescent="0.25">
      <c r="A45" t="s">
        <v>40</v>
      </c>
      <c r="B45" t="s">
        <v>227</v>
      </c>
      <c r="C45" s="7">
        <v>8</v>
      </c>
      <c r="D45" s="7">
        <v>2</v>
      </c>
      <c r="E45" s="7">
        <v>66.95</v>
      </c>
      <c r="Q45" t="s">
        <v>40</v>
      </c>
      <c r="R45" t="s">
        <v>227</v>
      </c>
      <c r="S45" t="s">
        <v>116</v>
      </c>
      <c r="T45" s="7">
        <v>63</v>
      </c>
      <c r="U45" s="7">
        <v>15.65</v>
      </c>
      <c r="XDW45" t="s">
        <v>40</v>
      </c>
      <c r="XDX45" t="s">
        <v>227</v>
      </c>
      <c r="XDY45" s="7">
        <v>63</v>
      </c>
      <c r="XDZ45" s="7">
        <v>8</v>
      </c>
      <c r="XEA45" s="7">
        <v>63</v>
      </c>
      <c r="XEB45" s="7">
        <v>8</v>
      </c>
    </row>
    <row r="46" spans="1:21 16351:16356" x14ac:dyDescent="0.25">
      <c r="A46" t="s">
        <v>41</v>
      </c>
      <c r="B46" t="s">
        <v>230</v>
      </c>
      <c r="C46" s="7">
        <v>9</v>
      </c>
      <c r="D46" s="7">
        <v>2</v>
      </c>
      <c r="E46" s="7">
        <v>67.459999999999994</v>
      </c>
      <c r="Q46" t="s">
        <v>41</v>
      </c>
      <c r="R46" t="s">
        <v>230</v>
      </c>
      <c r="S46" t="s">
        <v>116</v>
      </c>
      <c r="T46" s="7">
        <v>46</v>
      </c>
      <c r="U46" s="7">
        <v>10.38</v>
      </c>
      <c r="XDW46" t="s">
        <v>41</v>
      </c>
      <c r="XDX46" t="s">
        <v>230</v>
      </c>
      <c r="XDY46" s="7">
        <v>46</v>
      </c>
      <c r="XDZ46" s="7">
        <v>9</v>
      </c>
      <c r="XEA46" s="7">
        <v>46</v>
      </c>
      <c r="XEB46" s="7">
        <v>9</v>
      </c>
    </row>
    <row r="47" spans="1:21 16351:16356" x14ac:dyDescent="0.25">
      <c r="A47" t="s">
        <v>42</v>
      </c>
      <c r="B47" t="s">
        <v>223</v>
      </c>
      <c r="C47" s="7">
        <v>5</v>
      </c>
      <c r="D47" s="7">
        <v>4</v>
      </c>
      <c r="E47" s="7">
        <v>86.3</v>
      </c>
      <c r="Q47" t="s">
        <v>42</v>
      </c>
      <c r="R47" t="s">
        <v>223</v>
      </c>
      <c r="S47" t="s">
        <v>118</v>
      </c>
      <c r="T47" s="7">
        <v>96</v>
      </c>
      <c r="U47" s="7">
        <v>10.93</v>
      </c>
      <c r="XDW47" t="s">
        <v>42</v>
      </c>
      <c r="XDX47" t="s">
        <v>223</v>
      </c>
      <c r="XDY47" s="7">
        <v>96</v>
      </c>
      <c r="XDZ47" s="7">
        <v>5</v>
      </c>
      <c r="XEA47" s="7">
        <v>96</v>
      </c>
      <c r="XEB47" s="7">
        <v>5</v>
      </c>
    </row>
    <row r="48" spans="1:21 16351:16356" x14ac:dyDescent="0.25">
      <c r="A48" t="s">
        <v>43</v>
      </c>
      <c r="B48" t="s">
        <v>236</v>
      </c>
      <c r="C48" s="7">
        <v>9</v>
      </c>
      <c r="D48" s="7">
        <v>3</v>
      </c>
      <c r="E48" s="7">
        <v>94.86</v>
      </c>
      <c r="Q48" t="s">
        <v>43</v>
      </c>
      <c r="R48" t="s">
        <v>236</v>
      </c>
      <c r="S48" t="s">
        <v>116</v>
      </c>
      <c r="T48" s="7">
        <v>64</v>
      </c>
      <c r="U48" s="7">
        <v>9.1199999999999992</v>
      </c>
      <c r="XDW48" t="s">
        <v>43</v>
      </c>
      <c r="XDX48" t="s">
        <v>236</v>
      </c>
      <c r="XDY48" s="7">
        <v>64</v>
      </c>
      <c r="XDZ48" s="7">
        <v>9</v>
      </c>
      <c r="XEA48" s="7">
        <v>64</v>
      </c>
      <c r="XEB48" s="7">
        <v>9</v>
      </c>
    </row>
    <row r="49" spans="1:21 16351:16356" x14ac:dyDescent="0.25">
      <c r="A49" t="s">
        <v>44</v>
      </c>
      <c r="B49" t="s">
        <v>229</v>
      </c>
      <c r="C49" s="7">
        <v>9</v>
      </c>
      <c r="D49" s="7">
        <v>2</v>
      </c>
      <c r="E49" s="7">
        <v>94.35</v>
      </c>
      <c r="Q49" t="s">
        <v>44</v>
      </c>
      <c r="R49" t="s">
        <v>229</v>
      </c>
      <c r="S49" t="s">
        <v>118</v>
      </c>
      <c r="T49" s="7">
        <v>84</v>
      </c>
      <c r="U49" s="7">
        <v>1.48</v>
      </c>
      <c r="XDW49" t="s">
        <v>44</v>
      </c>
      <c r="XDX49" t="s">
        <v>229</v>
      </c>
      <c r="XDY49" s="7">
        <v>84</v>
      </c>
      <c r="XDZ49" s="7">
        <v>9</v>
      </c>
      <c r="XEA49" s="7">
        <v>84</v>
      </c>
      <c r="XEB49" s="7">
        <v>9</v>
      </c>
    </row>
    <row r="50" spans="1:21 16351:16356" x14ac:dyDescent="0.25">
      <c r="A50" t="s">
        <v>45</v>
      </c>
      <c r="B50" t="s">
        <v>248</v>
      </c>
      <c r="C50" s="7">
        <v>5</v>
      </c>
      <c r="D50" s="7">
        <v>0</v>
      </c>
      <c r="E50" s="7">
        <v>88.99</v>
      </c>
      <c r="Q50" t="s">
        <v>45</v>
      </c>
      <c r="R50" t="s">
        <v>248</v>
      </c>
      <c r="S50" t="s">
        <v>116</v>
      </c>
      <c r="T50" s="7">
        <v>19</v>
      </c>
      <c r="U50" s="7">
        <v>3.05</v>
      </c>
      <c r="XDW50" t="s">
        <v>45</v>
      </c>
      <c r="XDX50" t="s">
        <v>248</v>
      </c>
      <c r="XDY50" s="7">
        <v>19</v>
      </c>
      <c r="XDZ50" s="7">
        <v>5</v>
      </c>
      <c r="XEA50" s="7">
        <v>19</v>
      </c>
      <c r="XEB50" s="7">
        <v>5</v>
      </c>
    </row>
    <row r="51" spans="1:21 16351:16356" x14ac:dyDescent="0.25">
      <c r="A51" t="s">
        <v>46</v>
      </c>
      <c r="B51" t="s">
        <v>237</v>
      </c>
      <c r="C51" s="7">
        <v>0</v>
      </c>
      <c r="D51" s="7">
        <v>0</v>
      </c>
      <c r="E51" s="7">
        <v>82.1</v>
      </c>
      <c r="Q51" t="s">
        <v>46</v>
      </c>
      <c r="R51" t="s">
        <v>237</v>
      </c>
      <c r="S51" t="s">
        <v>117</v>
      </c>
      <c r="T51" s="7">
        <v>66</v>
      </c>
      <c r="U51" s="7">
        <v>1.6</v>
      </c>
      <c r="XDW51" t="s">
        <v>46</v>
      </c>
      <c r="XDX51" t="s">
        <v>237</v>
      </c>
      <c r="XDY51" s="7">
        <v>66</v>
      </c>
      <c r="XDZ51" s="7">
        <v>0</v>
      </c>
      <c r="XEA51" s="7">
        <v>66</v>
      </c>
      <c r="XEB51" s="7">
        <v>0</v>
      </c>
    </row>
    <row r="52" spans="1:21 16351:16356" x14ac:dyDescent="0.25">
      <c r="A52" t="s">
        <v>47</v>
      </c>
      <c r="B52" t="s">
        <v>238</v>
      </c>
      <c r="C52" s="7">
        <v>3</v>
      </c>
      <c r="D52" s="7">
        <v>1</v>
      </c>
      <c r="E52" s="7">
        <v>54.21</v>
      </c>
      <c r="Q52" t="s">
        <v>47</v>
      </c>
      <c r="R52" t="s">
        <v>238</v>
      </c>
      <c r="S52" t="s">
        <v>118</v>
      </c>
      <c r="T52" s="7">
        <v>66</v>
      </c>
      <c r="U52" s="7">
        <v>13.09</v>
      </c>
      <c r="XDW52" t="s">
        <v>47</v>
      </c>
      <c r="XDX52" t="s">
        <v>238</v>
      </c>
      <c r="XDY52" s="7">
        <v>66</v>
      </c>
      <c r="XDZ52" s="7">
        <v>3</v>
      </c>
      <c r="XEA52" s="7">
        <v>66</v>
      </c>
      <c r="XEB52" s="7">
        <v>3</v>
      </c>
    </row>
    <row r="53" spans="1:21 16351:16356" x14ac:dyDescent="0.25">
      <c r="A53" t="s">
        <v>48</v>
      </c>
      <c r="B53" t="s">
        <v>221</v>
      </c>
      <c r="C53" s="7">
        <v>9</v>
      </c>
      <c r="D53" s="7">
        <v>2</v>
      </c>
      <c r="E53" s="7">
        <v>58.08</v>
      </c>
      <c r="Q53" t="s">
        <v>48</v>
      </c>
      <c r="R53" t="s">
        <v>221</v>
      </c>
      <c r="S53" t="s">
        <v>116</v>
      </c>
      <c r="T53" s="7">
        <v>51</v>
      </c>
      <c r="U53" s="7">
        <v>6.97</v>
      </c>
      <c r="XDW53" t="s">
        <v>48</v>
      </c>
      <c r="XDX53" t="s">
        <v>221</v>
      </c>
      <c r="XDY53" s="7">
        <v>51</v>
      </c>
      <c r="XDZ53" s="7">
        <v>9</v>
      </c>
      <c r="XEA53" s="7">
        <v>51</v>
      </c>
      <c r="XEB53" s="7">
        <v>9</v>
      </c>
    </row>
    <row r="54" spans="1:21 16351:16356" x14ac:dyDescent="0.25">
      <c r="A54" t="s">
        <v>49</v>
      </c>
      <c r="B54" t="s">
        <v>239</v>
      </c>
      <c r="C54" s="7">
        <v>5</v>
      </c>
      <c r="D54" s="7">
        <v>3</v>
      </c>
      <c r="E54" s="7">
        <v>94.93</v>
      </c>
      <c r="Q54" t="s">
        <v>49</v>
      </c>
      <c r="R54" t="s">
        <v>239</v>
      </c>
      <c r="S54" t="s">
        <v>115</v>
      </c>
      <c r="T54" s="7">
        <v>66</v>
      </c>
      <c r="U54" s="7">
        <v>10.66</v>
      </c>
      <c r="XDW54" t="s">
        <v>49</v>
      </c>
      <c r="XDX54" t="s">
        <v>239</v>
      </c>
      <c r="XDY54" s="7">
        <v>66</v>
      </c>
      <c r="XDZ54" s="7">
        <v>5</v>
      </c>
      <c r="XEA54" s="7">
        <v>66</v>
      </c>
      <c r="XEB54" s="7">
        <v>5</v>
      </c>
    </row>
    <row r="55" spans="1:21 16351:16356" x14ac:dyDescent="0.25">
      <c r="A55" t="s">
        <v>50</v>
      </c>
      <c r="B55" t="s">
        <v>237</v>
      </c>
      <c r="C55" s="7">
        <v>5</v>
      </c>
      <c r="D55" s="7">
        <v>4</v>
      </c>
      <c r="E55" s="7">
        <v>80.319999999999993</v>
      </c>
      <c r="Q55" t="s">
        <v>50</v>
      </c>
      <c r="R55" t="s">
        <v>237</v>
      </c>
      <c r="S55" t="s">
        <v>118</v>
      </c>
      <c r="T55" s="7">
        <v>55</v>
      </c>
      <c r="U55" s="7">
        <v>18.239999999999998</v>
      </c>
      <c r="XDW55" t="s">
        <v>50</v>
      </c>
      <c r="XDX55" t="s">
        <v>237</v>
      </c>
      <c r="XDY55" s="7">
        <v>55</v>
      </c>
      <c r="XDZ55" s="7">
        <v>5</v>
      </c>
      <c r="XEA55" s="7">
        <v>55</v>
      </c>
      <c r="XEB55" s="7">
        <v>5</v>
      </c>
    </row>
    <row r="56" spans="1:21 16351:16356" x14ac:dyDescent="0.25">
      <c r="A56" t="s">
        <v>51</v>
      </c>
      <c r="B56" t="s">
        <v>240</v>
      </c>
      <c r="C56" s="7">
        <v>10</v>
      </c>
      <c r="D56" s="7">
        <v>4</v>
      </c>
      <c r="E56" s="7">
        <v>50.46</v>
      </c>
      <c r="Q56" t="s">
        <v>51</v>
      </c>
      <c r="R56" t="s">
        <v>240</v>
      </c>
      <c r="S56" t="s">
        <v>115</v>
      </c>
      <c r="T56" s="7">
        <v>59</v>
      </c>
      <c r="U56" s="7">
        <v>5.74</v>
      </c>
      <c r="XDW56" t="s">
        <v>51</v>
      </c>
      <c r="XDX56" t="s">
        <v>240</v>
      </c>
      <c r="XDY56" s="7">
        <v>59</v>
      </c>
      <c r="XDZ56" s="7">
        <v>10</v>
      </c>
      <c r="XEA56" s="7">
        <v>59</v>
      </c>
      <c r="XEB56" s="7">
        <v>10</v>
      </c>
    </row>
    <row r="57" spans="1:21 16351:16356" x14ac:dyDescent="0.25">
      <c r="A57" t="s">
        <v>52</v>
      </c>
      <c r="B57" t="s">
        <v>235</v>
      </c>
      <c r="C57" s="7">
        <v>4</v>
      </c>
      <c r="D57" s="7">
        <v>3</v>
      </c>
      <c r="E57" s="7">
        <v>55.07</v>
      </c>
      <c r="Q57" t="s">
        <v>52</v>
      </c>
      <c r="R57" t="s">
        <v>235</v>
      </c>
      <c r="S57" t="s">
        <v>115</v>
      </c>
      <c r="T57" s="7">
        <v>68</v>
      </c>
      <c r="U57" s="7">
        <v>8.8000000000000007</v>
      </c>
      <c r="XDW57" t="s">
        <v>52</v>
      </c>
      <c r="XDX57" t="s">
        <v>235</v>
      </c>
      <c r="XDY57" s="7">
        <v>68</v>
      </c>
      <c r="XDZ57" s="7">
        <v>4</v>
      </c>
      <c r="XEA57" s="7">
        <v>68</v>
      </c>
      <c r="XEB57" s="7">
        <v>4</v>
      </c>
    </row>
    <row r="58" spans="1:21 16351:16356" x14ac:dyDescent="0.25">
      <c r="A58" t="s">
        <v>53</v>
      </c>
      <c r="B58" t="s">
        <v>230</v>
      </c>
      <c r="C58" s="7">
        <v>0</v>
      </c>
      <c r="D58" s="7">
        <v>5</v>
      </c>
      <c r="E58" s="7">
        <v>83.18</v>
      </c>
      <c r="Q58" t="s">
        <v>53</v>
      </c>
      <c r="R58" t="s">
        <v>230</v>
      </c>
      <c r="S58" t="s">
        <v>115</v>
      </c>
      <c r="T58" s="7">
        <v>7</v>
      </c>
      <c r="U58" s="7">
        <v>15.36</v>
      </c>
      <c r="XDW58" t="s">
        <v>53</v>
      </c>
      <c r="XDX58" t="s">
        <v>230</v>
      </c>
      <c r="XDY58" s="7">
        <v>7</v>
      </c>
      <c r="XDZ58" s="7">
        <v>0</v>
      </c>
      <c r="XEA58" s="7">
        <v>7</v>
      </c>
      <c r="XEB58" s="7">
        <v>0</v>
      </c>
    </row>
    <row r="59" spans="1:21 16351:16356" x14ac:dyDescent="0.25">
      <c r="A59" t="s">
        <v>54</v>
      </c>
      <c r="B59" t="s">
        <v>300</v>
      </c>
      <c r="C59" s="7">
        <v>7</v>
      </c>
      <c r="D59" s="7">
        <v>1</v>
      </c>
      <c r="E59" s="7">
        <v>50.25</v>
      </c>
      <c r="Q59" t="s">
        <v>54</v>
      </c>
      <c r="R59" t="s">
        <v>300</v>
      </c>
      <c r="S59" t="s">
        <v>115</v>
      </c>
      <c r="T59" s="7">
        <v>55</v>
      </c>
      <c r="U59" s="7">
        <v>5.35</v>
      </c>
      <c r="XDW59" t="s">
        <v>54</v>
      </c>
      <c r="XDX59" t="s">
        <v>300</v>
      </c>
      <c r="XDY59" s="7">
        <v>55</v>
      </c>
      <c r="XDZ59" s="7">
        <v>7</v>
      </c>
      <c r="XEA59" s="7">
        <v>55</v>
      </c>
      <c r="XEB59" s="7">
        <v>7</v>
      </c>
    </row>
    <row r="60" spans="1:21 16351:16356" x14ac:dyDescent="0.25">
      <c r="A60" t="s">
        <v>55</v>
      </c>
      <c r="B60" t="s">
        <v>248</v>
      </c>
      <c r="C60" s="7">
        <v>4</v>
      </c>
      <c r="D60" s="7">
        <v>4</v>
      </c>
      <c r="E60" s="7">
        <v>58.04</v>
      </c>
      <c r="Q60" t="s">
        <v>55</v>
      </c>
      <c r="R60" t="s">
        <v>248</v>
      </c>
      <c r="S60" t="s">
        <v>116</v>
      </c>
      <c r="T60" s="7">
        <v>11</v>
      </c>
      <c r="U60" s="7">
        <v>2.46</v>
      </c>
      <c r="XDW60" t="s">
        <v>55</v>
      </c>
      <c r="XDX60" t="s">
        <v>248</v>
      </c>
      <c r="XDY60" s="7">
        <v>11</v>
      </c>
      <c r="XDZ60" s="7">
        <v>4</v>
      </c>
      <c r="XEA60" s="7">
        <v>11</v>
      </c>
      <c r="XEB60" s="7">
        <v>4</v>
      </c>
    </row>
    <row r="61" spans="1:21 16351:16356" x14ac:dyDescent="0.25">
      <c r="A61" t="s">
        <v>56</v>
      </c>
      <c r="B61" t="s">
        <v>224</v>
      </c>
      <c r="C61" s="7">
        <v>4</v>
      </c>
      <c r="D61" s="7">
        <v>2</v>
      </c>
      <c r="E61" s="7">
        <v>77.44</v>
      </c>
      <c r="Q61" t="s">
        <v>56</v>
      </c>
      <c r="R61" t="s">
        <v>224</v>
      </c>
      <c r="S61" t="s">
        <v>116</v>
      </c>
      <c r="T61" s="7">
        <v>25</v>
      </c>
      <c r="U61" s="7">
        <v>6.51</v>
      </c>
      <c r="XDW61" t="s">
        <v>56</v>
      </c>
      <c r="XDX61" t="s">
        <v>224</v>
      </c>
      <c r="XDY61" s="7">
        <v>25</v>
      </c>
      <c r="XDZ61" s="7">
        <v>4</v>
      </c>
      <c r="XEA61" s="7">
        <v>25</v>
      </c>
      <c r="XEB61" s="7">
        <v>4</v>
      </c>
    </row>
    <row r="62" spans="1:21 16351:16356" x14ac:dyDescent="0.25">
      <c r="A62" t="s">
        <v>57</v>
      </c>
      <c r="B62" t="s">
        <v>232</v>
      </c>
      <c r="C62" s="7">
        <v>6</v>
      </c>
      <c r="D62" s="7">
        <v>1</v>
      </c>
      <c r="E62" s="7">
        <v>84.59</v>
      </c>
      <c r="Q62" t="s">
        <v>57</v>
      </c>
      <c r="R62" t="s">
        <v>232</v>
      </c>
      <c r="S62" t="s">
        <v>118</v>
      </c>
      <c r="T62" s="7">
        <v>77</v>
      </c>
      <c r="U62" s="7">
        <v>4.0599999999999996</v>
      </c>
      <c r="XDW62" t="s">
        <v>57</v>
      </c>
      <c r="XDX62" t="s">
        <v>232</v>
      </c>
      <c r="XDY62" s="7">
        <v>77</v>
      </c>
      <c r="XDZ62" s="7">
        <v>6</v>
      </c>
      <c r="XEA62" s="7">
        <v>77</v>
      </c>
      <c r="XEB62" s="7">
        <v>6</v>
      </c>
    </row>
    <row r="63" spans="1:21 16351:16356" x14ac:dyDescent="0.25">
      <c r="A63" t="s">
        <v>58</v>
      </c>
      <c r="B63" t="s">
        <v>239</v>
      </c>
      <c r="C63" s="7">
        <v>3</v>
      </c>
      <c r="D63" s="7">
        <v>2</v>
      </c>
      <c r="E63" s="7">
        <v>82.6</v>
      </c>
      <c r="Q63" t="s">
        <v>58</v>
      </c>
      <c r="R63" t="s">
        <v>239</v>
      </c>
      <c r="S63" t="s">
        <v>118</v>
      </c>
      <c r="T63" s="7">
        <v>43</v>
      </c>
      <c r="U63" s="7">
        <v>18.66</v>
      </c>
      <c r="XDW63" t="s">
        <v>58</v>
      </c>
      <c r="XDX63" t="s">
        <v>239</v>
      </c>
      <c r="XDY63" s="7">
        <v>43</v>
      </c>
      <c r="XDZ63" s="7">
        <v>3</v>
      </c>
      <c r="XEA63" s="7">
        <v>43</v>
      </c>
      <c r="XEB63" s="7">
        <v>3</v>
      </c>
    </row>
    <row r="64" spans="1:21 16351:16356" x14ac:dyDescent="0.25">
      <c r="A64" t="s">
        <v>59</v>
      </c>
      <c r="B64" t="s">
        <v>300</v>
      </c>
      <c r="C64" s="7">
        <v>5</v>
      </c>
      <c r="D64" s="7">
        <v>0</v>
      </c>
      <c r="E64" s="7">
        <v>61.21</v>
      </c>
      <c r="Q64" t="s">
        <v>59</v>
      </c>
      <c r="R64" t="s">
        <v>300</v>
      </c>
      <c r="S64" t="s">
        <v>118</v>
      </c>
      <c r="T64" s="7">
        <v>22</v>
      </c>
      <c r="U64" s="7">
        <v>16.350000000000001</v>
      </c>
      <c r="XDW64" t="s">
        <v>59</v>
      </c>
      <c r="XDX64" t="s">
        <v>300</v>
      </c>
      <c r="XDY64" s="7">
        <v>22</v>
      </c>
      <c r="XDZ64" s="7">
        <v>5</v>
      </c>
      <c r="XEA64" s="7">
        <v>22</v>
      </c>
      <c r="XEB64" s="7">
        <v>5</v>
      </c>
    </row>
    <row r="65" spans="1:21 16351:16356" x14ac:dyDescent="0.25">
      <c r="A65" t="s">
        <v>60</v>
      </c>
      <c r="B65" t="s">
        <v>220</v>
      </c>
      <c r="C65" s="7">
        <v>3</v>
      </c>
      <c r="D65" s="7">
        <v>1</v>
      </c>
      <c r="E65" s="7">
        <v>85.61</v>
      </c>
      <c r="Q65" t="s">
        <v>60</v>
      </c>
      <c r="R65" t="s">
        <v>220</v>
      </c>
      <c r="S65" t="s">
        <v>116</v>
      </c>
      <c r="T65" s="7">
        <v>8</v>
      </c>
      <c r="U65" s="7">
        <v>13.03</v>
      </c>
      <c r="XDW65" t="s">
        <v>60</v>
      </c>
      <c r="XDX65" t="s">
        <v>220</v>
      </c>
      <c r="XDY65" s="7">
        <v>8</v>
      </c>
      <c r="XDZ65" s="7">
        <v>3</v>
      </c>
      <c r="XEA65" s="7">
        <v>8</v>
      </c>
      <c r="XEB65" s="7">
        <v>3</v>
      </c>
    </row>
    <row r="66" spans="1:21 16351:16356" x14ac:dyDescent="0.25">
      <c r="A66" t="s">
        <v>61</v>
      </c>
      <c r="B66" t="s">
        <v>228</v>
      </c>
      <c r="C66" s="7">
        <v>2</v>
      </c>
      <c r="D66" s="7">
        <v>4</v>
      </c>
      <c r="E66" s="7">
        <v>61.86</v>
      </c>
      <c r="Q66" t="s">
        <v>61</v>
      </c>
      <c r="R66" t="s">
        <v>228</v>
      </c>
      <c r="S66" t="s">
        <v>118</v>
      </c>
      <c r="T66" s="7">
        <v>93</v>
      </c>
      <c r="U66" s="7">
        <v>17.559999999999999</v>
      </c>
      <c r="XDW66" t="s">
        <v>61</v>
      </c>
      <c r="XDX66" t="s">
        <v>228</v>
      </c>
      <c r="XDY66" s="7">
        <v>93</v>
      </c>
      <c r="XDZ66" s="7">
        <v>2</v>
      </c>
      <c r="XEA66" s="7">
        <v>93</v>
      </c>
      <c r="XEB66" s="7">
        <v>2</v>
      </c>
    </row>
    <row r="67" spans="1:21 16351:16356" x14ac:dyDescent="0.25">
      <c r="A67" t="s">
        <v>62</v>
      </c>
      <c r="B67" t="s">
        <v>242</v>
      </c>
      <c r="C67" s="7">
        <v>6</v>
      </c>
      <c r="D67" s="7">
        <v>1</v>
      </c>
      <c r="E67" s="7">
        <v>66.27</v>
      </c>
      <c r="Q67" t="s">
        <v>62</v>
      </c>
      <c r="R67" t="s">
        <v>242</v>
      </c>
      <c r="S67" t="s">
        <v>115</v>
      </c>
      <c r="T67" s="7">
        <v>64</v>
      </c>
      <c r="U67" s="7">
        <v>16.27</v>
      </c>
      <c r="XDW67" t="s">
        <v>62</v>
      </c>
      <c r="XDX67" t="s">
        <v>242</v>
      </c>
      <c r="XDY67" s="7">
        <v>64</v>
      </c>
      <c r="XDZ67" s="7">
        <v>6</v>
      </c>
      <c r="XEA67" s="7">
        <v>64</v>
      </c>
      <c r="XEB67" s="7">
        <v>6</v>
      </c>
    </row>
    <row r="68" spans="1:21 16351:16356" x14ac:dyDescent="0.25">
      <c r="A68" t="s">
        <v>63</v>
      </c>
      <c r="B68" t="s">
        <v>220</v>
      </c>
      <c r="C68" s="7">
        <v>7</v>
      </c>
      <c r="D68" s="7">
        <v>1</v>
      </c>
      <c r="E68" s="7">
        <v>87.32</v>
      </c>
      <c r="Q68" t="s">
        <v>63</v>
      </c>
      <c r="R68" t="s">
        <v>220</v>
      </c>
      <c r="S68" t="s">
        <v>116</v>
      </c>
      <c r="T68" s="7">
        <v>18</v>
      </c>
      <c r="U68" s="7">
        <v>4.54</v>
      </c>
      <c r="XDW68" t="s">
        <v>63</v>
      </c>
      <c r="XDX68" t="s">
        <v>220</v>
      </c>
      <c r="XDY68" s="7">
        <v>18</v>
      </c>
      <c r="XDZ68" s="7">
        <v>7</v>
      </c>
      <c r="XEA68" s="7">
        <v>18</v>
      </c>
      <c r="XEB68" s="7">
        <v>7</v>
      </c>
    </row>
    <row r="69" spans="1:21 16351:16356" x14ac:dyDescent="0.25">
      <c r="A69" t="s">
        <v>64</v>
      </c>
      <c r="B69" t="s">
        <v>243</v>
      </c>
      <c r="C69" s="7">
        <v>3</v>
      </c>
      <c r="D69" s="7">
        <v>1</v>
      </c>
      <c r="E69" s="7">
        <v>82.48</v>
      </c>
      <c r="Q69" t="s">
        <v>64</v>
      </c>
      <c r="R69" t="s">
        <v>243</v>
      </c>
      <c r="S69" t="s">
        <v>118</v>
      </c>
      <c r="T69" s="7">
        <v>13</v>
      </c>
      <c r="U69" s="7">
        <v>17.96</v>
      </c>
      <c r="XDW69" t="s">
        <v>64</v>
      </c>
      <c r="XDX69" t="s">
        <v>243</v>
      </c>
      <c r="XDY69" s="7">
        <v>13</v>
      </c>
      <c r="XDZ69" s="7">
        <v>3</v>
      </c>
      <c r="XEA69" s="7">
        <v>13</v>
      </c>
      <c r="XEB69" s="7">
        <v>3</v>
      </c>
    </row>
    <row r="70" spans="1:21 16351:16356" x14ac:dyDescent="0.25">
      <c r="A70" t="s">
        <v>65</v>
      </c>
      <c r="B70" t="s">
        <v>238</v>
      </c>
      <c r="C70" s="7">
        <v>1</v>
      </c>
      <c r="D70" s="7">
        <v>5</v>
      </c>
      <c r="E70" s="7">
        <v>92.46</v>
      </c>
      <c r="Q70" t="s">
        <v>65</v>
      </c>
      <c r="R70" t="s">
        <v>238</v>
      </c>
      <c r="S70" t="s">
        <v>115</v>
      </c>
      <c r="T70" s="7">
        <v>94</v>
      </c>
      <c r="U70" s="7">
        <v>11.25</v>
      </c>
      <c r="XDW70" t="s">
        <v>65</v>
      </c>
      <c r="XDX70" t="s">
        <v>238</v>
      </c>
      <c r="XDY70" s="7">
        <v>94</v>
      </c>
      <c r="XDZ70" s="7">
        <v>1</v>
      </c>
      <c r="XEA70" s="7">
        <v>94</v>
      </c>
      <c r="XEB70" s="7">
        <v>1</v>
      </c>
    </row>
    <row r="71" spans="1:21 16351:16356" x14ac:dyDescent="0.25">
      <c r="A71" t="s">
        <v>66</v>
      </c>
      <c r="B71" t="s">
        <v>243</v>
      </c>
      <c r="C71" s="7">
        <v>9</v>
      </c>
      <c r="D71" s="7">
        <v>1</v>
      </c>
      <c r="E71" s="7">
        <v>82.88</v>
      </c>
      <c r="Q71" t="s">
        <v>66</v>
      </c>
      <c r="R71" t="s">
        <v>243</v>
      </c>
      <c r="S71" t="s">
        <v>118</v>
      </c>
      <c r="T71" s="7">
        <v>57</v>
      </c>
      <c r="U71" s="7">
        <v>16.34</v>
      </c>
      <c r="XDW71" t="s">
        <v>66</v>
      </c>
      <c r="XDX71" t="s">
        <v>243</v>
      </c>
      <c r="XDY71" s="7">
        <v>57</v>
      </c>
      <c r="XDZ71" s="7">
        <v>9</v>
      </c>
      <c r="XEA71" s="7">
        <v>57</v>
      </c>
      <c r="XEB71" s="7">
        <v>9</v>
      </c>
    </row>
    <row r="72" spans="1:21 16351:16356" x14ac:dyDescent="0.25">
      <c r="A72" t="s">
        <v>67</v>
      </c>
      <c r="B72" t="s">
        <v>234</v>
      </c>
      <c r="C72" s="7">
        <v>2</v>
      </c>
      <c r="D72" s="7">
        <v>2</v>
      </c>
      <c r="E72" s="7">
        <v>78.42</v>
      </c>
      <c r="Q72" t="s">
        <v>67</v>
      </c>
      <c r="R72" t="s">
        <v>234</v>
      </c>
      <c r="S72" t="s">
        <v>117</v>
      </c>
      <c r="T72" s="7">
        <v>6</v>
      </c>
      <c r="U72" s="7">
        <v>18.03</v>
      </c>
      <c r="XDW72" t="s">
        <v>67</v>
      </c>
      <c r="XDX72" t="s">
        <v>234</v>
      </c>
      <c r="XDY72" s="7">
        <v>6</v>
      </c>
      <c r="XDZ72" s="7">
        <v>2</v>
      </c>
      <c r="XEA72" s="7">
        <v>6</v>
      </c>
      <c r="XEB72" s="7">
        <v>2</v>
      </c>
    </row>
    <row r="73" spans="1:21 16351:16356" x14ac:dyDescent="0.25">
      <c r="A73" t="s">
        <v>68</v>
      </c>
      <c r="B73" t="s">
        <v>248</v>
      </c>
      <c r="C73" s="7">
        <v>0</v>
      </c>
      <c r="D73" s="7">
        <v>0</v>
      </c>
      <c r="E73" s="7">
        <v>54.68</v>
      </c>
      <c r="Q73" t="s">
        <v>68</v>
      </c>
      <c r="R73" t="s">
        <v>248</v>
      </c>
      <c r="S73" t="s">
        <v>118</v>
      </c>
      <c r="T73" s="7">
        <v>88</v>
      </c>
      <c r="U73" s="7">
        <v>7.04</v>
      </c>
      <c r="XDW73" t="s">
        <v>68</v>
      </c>
      <c r="XDX73" t="s">
        <v>248</v>
      </c>
      <c r="XDY73" s="7">
        <v>88</v>
      </c>
      <c r="XDZ73" s="7">
        <v>0</v>
      </c>
      <c r="XEA73" s="7">
        <v>88</v>
      </c>
      <c r="XEB73" s="7">
        <v>0</v>
      </c>
    </row>
    <row r="74" spans="1:21 16351:16356" x14ac:dyDescent="0.25">
      <c r="A74" t="s">
        <v>69</v>
      </c>
      <c r="B74" t="s">
        <v>237</v>
      </c>
      <c r="C74" s="7">
        <v>7</v>
      </c>
      <c r="D74" s="7">
        <v>3</v>
      </c>
      <c r="E74" s="7">
        <v>68.39</v>
      </c>
      <c r="Q74" t="s">
        <v>69</v>
      </c>
      <c r="R74" t="s">
        <v>237</v>
      </c>
      <c r="S74" t="s">
        <v>117</v>
      </c>
      <c r="T74" s="7">
        <v>96</v>
      </c>
      <c r="U74" s="7">
        <v>3.09</v>
      </c>
      <c r="XDW74" t="s">
        <v>69</v>
      </c>
      <c r="XDX74" t="s">
        <v>237</v>
      </c>
      <c r="XDY74" s="7">
        <v>96</v>
      </c>
      <c r="XDZ74" s="7">
        <v>7</v>
      </c>
      <c r="XEA74" s="7">
        <v>96</v>
      </c>
      <c r="XEB74" s="7">
        <v>7</v>
      </c>
    </row>
    <row r="75" spans="1:21 16351:16356" x14ac:dyDescent="0.25">
      <c r="A75" t="s">
        <v>70</v>
      </c>
      <c r="B75" t="s">
        <v>231</v>
      </c>
      <c r="C75" s="7">
        <v>2</v>
      </c>
      <c r="D75" s="7">
        <v>1</v>
      </c>
      <c r="E75" s="7">
        <v>63.26</v>
      </c>
      <c r="Q75" t="s">
        <v>70</v>
      </c>
      <c r="R75" t="s">
        <v>231</v>
      </c>
      <c r="S75" t="s">
        <v>118</v>
      </c>
      <c r="T75" s="7">
        <v>64</v>
      </c>
      <c r="U75" s="7">
        <v>5.33</v>
      </c>
      <c r="XDW75" t="s">
        <v>70</v>
      </c>
      <c r="XDX75" t="s">
        <v>231</v>
      </c>
      <c r="XDY75" s="7">
        <v>64</v>
      </c>
      <c r="XDZ75" s="7">
        <v>2</v>
      </c>
      <c r="XEA75" s="7">
        <v>64</v>
      </c>
      <c r="XEB75" s="7">
        <v>2</v>
      </c>
    </row>
    <row r="76" spans="1:21 16351:16356" x14ac:dyDescent="0.25">
      <c r="A76" t="s">
        <v>71</v>
      </c>
      <c r="B76" t="s">
        <v>222</v>
      </c>
      <c r="C76" s="7">
        <v>9</v>
      </c>
      <c r="D76" s="7">
        <v>4</v>
      </c>
      <c r="E76" s="7">
        <v>62.2</v>
      </c>
      <c r="Q76" t="s">
        <v>71</v>
      </c>
      <c r="R76" t="s">
        <v>222</v>
      </c>
      <c r="S76" t="s">
        <v>118</v>
      </c>
      <c r="T76" s="7">
        <v>75</v>
      </c>
      <c r="U76" s="7">
        <v>9.1199999999999992</v>
      </c>
      <c r="XDW76" t="s">
        <v>71</v>
      </c>
      <c r="XDX76" t="s">
        <v>222</v>
      </c>
      <c r="XDY76" s="7">
        <v>75</v>
      </c>
      <c r="XDZ76" s="7">
        <v>9</v>
      </c>
      <c r="XEA76" s="7">
        <v>75</v>
      </c>
      <c r="XEB76" s="7">
        <v>9</v>
      </c>
    </row>
    <row r="77" spans="1:21 16351:16356" x14ac:dyDescent="0.25">
      <c r="A77" t="s">
        <v>72</v>
      </c>
      <c r="B77" t="s">
        <v>236</v>
      </c>
      <c r="C77" s="7">
        <v>6</v>
      </c>
      <c r="D77" s="7">
        <v>1</v>
      </c>
      <c r="E77" s="7">
        <v>98.65</v>
      </c>
      <c r="Q77" t="s">
        <v>72</v>
      </c>
      <c r="R77" t="s">
        <v>236</v>
      </c>
      <c r="S77" t="s">
        <v>116</v>
      </c>
      <c r="T77" s="7">
        <v>48</v>
      </c>
      <c r="U77" s="7">
        <v>16.54</v>
      </c>
      <c r="XDW77" t="s">
        <v>72</v>
      </c>
      <c r="XDX77" t="s">
        <v>236</v>
      </c>
      <c r="XDY77" s="7">
        <v>48</v>
      </c>
      <c r="XDZ77" s="7">
        <v>6</v>
      </c>
      <c r="XEA77" s="7">
        <v>48</v>
      </c>
      <c r="XEB77" s="7">
        <v>6</v>
      </c>
    </row>
    <row r="78" spans="1:21 16351:16356" x14ac:dyDescent="0.25">
      <c r="A78" t="s">
        <v>73</v>
      </c>
      <c r="B78" t="s">
        <v>227</v>
      </c>
      <c r="C78" s="7">
        <v>9</v>
      </c>
      <c r="D78" s="7">
        <v>4</v>
      </c>
      <c r="E78" s="7">
        <v>69.650000000000006</v>
      </c>
      <c r="Q78" t="s">
        <v>73</v>
      </c>
      <c r="R78" t="s">
        <v>227</v>
      </c>
      <c r="S78" t="s">
        <v>116</v>
      </c>
      <c r="T78" s="7">
        <v>12</v>
      </c>
      <c r="U78" s="7">
        <v>17.350000000000001</v>
      </c>
      <c r="XDW78" t="s">
        <v>73</v>
      </c>
      <c r="XDX78" t="s">
        <v>227</v>
      </c>
      <c r="XDY78" s="7">
        <v>12</v>
      </c>
      <c r="XDZ78" s="7">
        <v>9</v>
      </c>
      <c r="XEA78" s="7">
        <v>12</v>
      </c>
      <c r="XEB78" s="7">
        <v>9</v>
      </c>
    </row>
    <row r="79" spans="1:21 16351:16356" x14ac:dyDescent="0.25">
      <c r="A79" t="s">
        <v>74</v>
      </c>
      <c r="B79" t="s">
        <v>220</v>
      </c>
      <c r="C79" s="7">
        <v>4</v>
      </c>
      <c r="D79" s="7">
        <v>2</v>
      </c>
      <c r="E79" s="7">
        <v>94.6</v>
      </c>
      <c r="Q79" t="s">
        <v>74</v>
      </c>
      <c r="R79" t="s">
        <v>220</v>
      </c>
      <c r="S79" t="s">
        <v>117</v>
      </c>
      <c r="T79" s="7">
        <v>51</v>
      </c>
      <c r="U79" s="7">
        <v>1.1299999999999999</v>
      </c>
      <c r="XDW79" t="s">
        <v>74</v>
      </c>
      <c r="XDX79" t="s">
        <v>220</v>
      </c>
      <c r="XDY79" s="7">
        <v>51</v>
      </c>
      <c r="XDZ79" s="7">
        <v>4</v>
      </c>
      <c r="XEA79" s="7">
        <v>51</v>
      </c>
      <c r="XEB79" s="7">
        <v>4</v>
      </c>
    </row>
    <row r="80" spans="1:21 16351:16356" x14ac:dyDescent="0.25">
      <c r="A80" t="s">
        <v>75</v>
      </c>
      <c r="B80" t="s">
        <v>244</v>
      </c>
      <c r="C80" s="7">
        <v>9</v>
      </c>
      <c r="D80" s="7">
        <v>4</v>
      </c>
      <c r="E80" s="7">
        <v>81.56</v>
      </c>
      <c r="Q80" t="s">
        <v>75</v>
      </c>
      <c r="R80" t="s">
        <v>244</v>
      </c>
      <c r="S80" t="s">
        <v>116</v>
      </c>
      <c r="T80" s="7">
        <v>39</v>
      </c>
      <c r="U80" s="7">
        <v>10.7</v>
      </c>
      <c r="XDW80" t="s">
        <v>75</v>
      </c>
      <c r="XDX80" t="s">
        <v>244</v>
      </c>
      <c r="XDY80" s="7">
        <v>39</v>
      </c>
      <c r="XDZ80" s="7">
        <v>9</v>
      </c>
      <c r="XEA80" s="7">
        <v>39</v>
      </c>
      <c r="XEB80" s="7">
        <v>9</v>
      </c>
    </row>
    <row r="81" spans="1:21 16351:16356" x14ac:dyDescent="0.25">
      <c r="A81" t="s">
        <v>76</v>
      </c>
      <c r="B81" t="s">
        <v>242</v>
      </c>
      <c r="C81" s="7">
        <v>4</v>
      </c>
      <c r="D81" s="7">
        <v>3</v>
      </c>
      <c r="E81" s="7">
        <v>89.74</v>
      </c>
      <c r="Q81" t="s">
        <v>76</v>
      </c>
      <c r="R81" t="s">
        <v>242</v>
      </c>
      <c r="S81" t="s">
        <v>115</v>
      </c>
      <c r="T81" s="7">
        <v>82</v>
      </c>
      <c r="U81" s="7">
        <v>8.93</v>
      </c>
      <c r="XDW81" t="s">
        <v>76</v>
      </c>
      <c r="XDX81" t="s">
        <v>242</v>
      </c>
      <c r="XDY81" s="7">
        <v>82</v>
      </c>
      <c r="XDZ81" s="7">
        <v>4</v>
      </c>
      <c r="XEA81" s="7">
        <v>82</v>
      </c>
      <c r="XEB81" s="7">
        <v>4</v>
      </c>
    </row>
    <row r="82" spans="1:21 16351:16356" x14ac:dyDescent="0.25">
      <c r="A82" t="s">
        <v>77</v>
      </c>
      <c r="B82" t="s">
        <v>228</v>
      </c>
      <c r="C82" s="7">
        <v>6</v>
      </c>
      <c r="D82" s="7">
        <v>0</v>
      </c>
      <c r="E82" s="7">
        <v>75.13</v>
      </c>
      <c r="Q82" t="s">
        <v>77</v>
      </c>
      <c r="R82" t="s">
        <v>228</v>
      </c>
      <c r="S82" t="s">
        <v>115</v>
      </c>
      <c r="T82" s="7">
        <v>85</v>
      </c>
      <c r="U82" s="7">
        <v>5.22</v>
      </c>
      <c r="XDW82" t="s">
        <v>77</v>
      </c>
      <c r="XDX82" t="s">
        <v>228</v>
      </c>
      <c r="XDY82" s="7">
        <v>85</v>
      </c>
      <c r="XDZ82" s="7">
        <v>6</v>
      </c>
      <c r="XEA82" s="7">
        <v>85</v>
      </c>
      <c r="XEB82" s="7">
        <v>6</v>
      </c>
    </row>
    <row r="83" spans="1:21 16351:16356" x14ac:dyDescent="0.25">
      <c r="A83" t="s">
        <v>78</v>
      </c>
      <c r="B83" t="s">
        <v>227</v>
      </c>
      <c r="C83" s="7">
        <v>8</v>
      </c>
      <c r="D83" s="7">
        <v>4</v>
      </c>
      <c r="E83" s="7">
        <v>78.849999999999994</v>
      </c>
      <c r="Q83" t="s">
        <v>78</v>
      </c>
      <c r="R83" t="s">
        <v>227</v>
      </c>
      <c r="S83" t="s">
        <v>117</v>
      </c>
      <c r="T83" s="7">
        <v>40</v>
      </c>
      <c r="U83" s="7">
        <v>3.28</v>
      </c>
      <c r="XDW83" t="s">
        <v>78</v>
      </c>
      <c r="XDX83" t="s">
        <v>227</v>
      </c>
      <c r="XDY83" s="7">
        <v>40</v>
      </c>
      <c r="XDZ83" s="7">
        <v>8</v>
      </c>
      <c r="XEA83" s="7">
        <v>40</v>
      </c>
      <c r="XEB83" s="7">
        <v>8</v>
      </c>
    </row>
    <row r="84" spans="1:21 16351:16356" x14ac:dyDescent="0.25">
      <c r="A84" t="s">
        <v>79</v>
      </c>
      <c r="B84" t="s">
        <v>245</v>
      </c>
      <c r="C84" s="7">
        <v>4</v>
      </c>
      <c r="D84" s="7">
        <v>4</v>
      </c>
      <c r="E84" s="7">
        <v>74.63</v>
      </c>
      <c r="Q84" t="s">
        <v>79</v>
      </c>
      <c r="R84" t="s">
        <v>245</v>
      </c>
      <c r="S84" t="s">
        <v>115</v>
      </c>
      <c r="T84" s="7">
        <v>54</v>
      </c>
      <c r="U84" s="7">
        <v>7.41</v>
      </c>
      <c r="XDW84" t="s">
        <v>79</v>
      </c>
      <c r="XDX84" t="s">
        <v>245</v>
      </c>
      <c r="XDY84" s="7">
        <v>54</v>
      </c>
      <c r="XDZ84" s="7">
        <v>4</v>
      </c>
      <c r="XEA84" s="7">
        <v>54</v>
      </c>
      <c r="XEB84" s="7">
        <v>4</v>
      </c>
    </row>
    <row r="85" spans="1:21 16351:16356" x14ac:dyDescent="0.25">
      <c r="A85" t="s">
        <v>80</v>
      </c>
      <c r="B85" t="s">
        <v>246</v>
      </c>
      <c r="C85" s="7">
        <v>0</v>
      </c>
      <c r="D85" s="7">
        <v>0</v>
      </c>
      <c r="E85" s="7">
        <v>59.76</v>
      </c>
      <c r="Q85" t="s">
        <v>80</v>
      </c>
      <c r="R85" t="s">
        <v>246</v>
      </c>
      <c r="S85" t="s">
        <v>115</v>
      </c>
      <c r="T85" s="7">
        <v>8</v>
      </c>
      <c r="U85" s="7">
        <v>18.920000000000002</v>
      </c>
      <c r="XDW85" t="s">
        <v>80</v>
      </c>
      <c r="XDX85" t="s">
        <v>246</v>
      </c>
      <c r="XDY85" s="7">
        <v>8</v>
      </c>
      <c r="XDZ85" s="7">
        <v>0</v>
      </c>
      <c r="XEA85" s="7">
        <v>8</v>
      </c>
      <c r="XEB85" s="7">
        <v>0</v>
      </c>
    </row>
    <row r="86" spans="1:21 16351:16356" x14ac:dyDescent="0.25">
      <c r="A86" t="s">
        <v>81</v>
      </c>
      <c r="B86" t="s">
        <v>219</v>
      </c>
      <c r="C86" s="7">
        <v>9</v>
      </c>
      <c r="D86" s="7">
        <v>3</v>
      </c>
      <c r="E86" s="7">
        <v>86.12</v>
      </c>
      <c r="Q86" t="s">
        <v>81</v>
      </c>
      <c r="R86" t="s">
        <v>219</v>
      </c>
      <c r="S86" t="s">
        <v>118</v>
      </c>
      <c r="T86" s="7">
        <v>6</v>
      </c>
      <c r="U86" s="7">
        <v>7.14</v>
      </c>
      <c r="XDW86" t="s">
        <v>81</v>
      </c>
      <c r="XDX86" t="s">
        <v>219</v>
      </c>
      <c r="XDY86" s="7">
        <v>6</v>
      </c>
      <c r="XDZ86" s="7">
        <v>9</v>
      </c>
      <c r="XEA86" s="7">
        <v>6</v>
      </c>
      <c r="XEB86" s="7">
        <v>9</v>
      </c>
    </row>
    <row r="87" spans="1:21 16351:16356" x14ac:dyDescent="0.25">
      <c r="A87" t="s">
        <v>82</v>
      </c>
      <c r="B87" t="s">
        <v>234</v>
      </c>
      <c r="C87" s="7">
        <v>9</v>
      </c>
      <c r="D87" s="7">
        <v>1</v>
      </c>
      <c r="E87" s="7">
        <v>64.040000000000006</v>
      </c>
      <c r="Q87" t="s">
        <v>82</v>
      </c>
      <c r="R87" t="s">
        <v>234</v>
      </c>
      <c r="S87" t="s">
        <v>116</v>
      </c>
      <c r="T87" s="7">
        <v>10</v>
      </c>
      <c r="U87" s="7">
        <v>10.86</v>
      </c>
      <c r="XDW87" t="s">
        <v>82</v>
      </c>
      <c r="XDX87" t="s">
        <v>234</v>
      </c>
      <c r="XDY87" s="7">
        <v>10</v>
      </c>
      <c r="XDZ87" s="7">
        <v>9</v>
      </c>
      <c r="XEA87" s="7">
        <v>10</v>
      </c>
      <c r="XEB87" s="7">
        <v>9</v>
      </c>
    </row>
    <row r="88" spans="1:21 16351:16356" x14ac:dyDescent="0.25">
      <c r="A88" t="s">
        <v>83</v>
      </c>
      <c r="B88" t="s">
        <v>226</v>
      </c>
      <c r="C88" s="7">
        <v>0</v>
      </c>
      <c r="D88" s="7">
        <v>4</v>
      </c>
      <c r="E88" s="7">
        <v>51.22</v>
      </c>
      <c r="Q88" t="s">
        <v>83</v>
      </c>
      <c r="R88" t="s">
        <v>226</v>
      </c>
      <c r="S88" t="s">
        <v>115</v>
      </c>
      <c r="T88" s="7">
        <v>58</v>
      </c>
      <c r="U88" s="7">
        <v>14.36</v>
      </c>
      <c r="XDW88" t="s">
        <v>83</v>
      </c>
      <c r="XDX88" t="s">
        <v>226</v>
      </c>
      <c r="XDY88" s="7">
        <v>58</v>
      </c>
      <c r="XDZ88" s="7">
        <v>0</v>
      </c>
      <c r="XEA88" s="7">
        <v>58</v>
      </c>
      <c r="XEB88" s="7">
        <v>0</v>
      </c>
    </row>
    <row r="89" spans="1:21 16351:16356" x14ac:dyDescent="0.25">
      <c r="A89" t="s">
        <v>84</v>
      </c>
      <c r="B89" t="s">
        <v>238</v>
      </c>
      <c r="C89" s="7">
        <v>1</v>
      </c>
      <c r="D89" s="7">
        <v>0</v>
      </c>
      <c r="E89" s="7">
        <v>82.27</v>
      </c>
      <c r="Q89" t="s">
        <v>84</v>
      </c>
      <c r="R89" t="s">
        <v>238</v>
      </c>
      <c r="S89" t="s">
        <v>115</v>
      </c>
      <c r="T89" s="7">
        <v>8</v>
      </c>
      <c r="U89" s="7">
        <v>7.91</v>
      </c>
      <c r="XDW89" t="s">
        <v>84</v>
      </c>
      <c r="XDX89" t="s">
        <v>238</v>
      </c>
      <c r="XDY89" s="7">
        <v>8</v>
      </c>
      <c r="XDZ89" s="7">
        <v>1</v>
      </c>
      <c r="XEA89" s="7">
        <v>8</v>
      </c>
      <c r="XEB89" s="7">
        <v>1</v>
      </c>
    </row>
    <row r="90" spans="1:21 16351:16356" x14ac:dyDescent="0.25">
      <c r="A90" t="s">
        <v>85</v>
      </c>
      <c r="B90" t="s">
        <v>243</v>
      </c>
      <c r="C90" s="7">
        <v>5</v>
      </c>
      <c r="D90" s="7">
        <v>2</v>
      </c>
      <c r="E90" s="7">
        <v>58.86</v>
      </c>
      <c r="Q90" t="s">
        <v>85</v>
      </c>
      <c r="R90" t="s">
        <v>243</v>
      </c>
      <c r="S90" t="s">
        <v>116</v>
      </c>
      <c r="T90" s="7">
        <v>58</v>
      </c>
      <c r="U90" s="7">
        <v>19.46</v>
      </c>
      <c r="XDW90" t="s">
        <v>85</v>
      </c>
      <c r="XDX90" t="s">
        <v>243</v>
      </c>
      <c r="XDY90" s="7">
        <v>58</v>
      </c>
      <c r="XDZ90" s="7">
        <v>5</v>
      </c>
      <c r="XEA90" s="7">
        <v>58</v>
      </c>
      <c r="XEB90" s="7">
        <v>5</v>
      </c>
    </row>
    <row r="91" spans="1:21 16351:16356" x14ac:dyDescent="0.25">
      <c r="A91" t="s">
        <v>86</v>
      </c>
      <c r="B91" t="s">
        <v>229</v>
      </c>
      <c r="C91" s="7">
        <v>8</v>
      </c>
      <c r="D91" s="7">
        <v>0</v>
      </c>
      <c r="E91" s="7">
        <v>97.02</v>
      </c>
      <c r="Q91" t="s">
        <v>86</v>
      </c>
      <c r="R91" t="s">
        <v>229</v>
      </c>
      <c r="S91" t="s">
        <v>115</v>
      </c>
      <c r="T91" s="7">
        <v>97</v>
      </c>
      <c r="U91" s="7">
        <v>19.29</v>
      </c>
      <c r="XDW91" t="s">
        <v>86</v>
      </c>
      <c r="XDX91" t="s">
        <v>229</v>
      </c>
      <c r="XDY91" s="7">
        <v>97</v>
      </c>
      <c r="XDZ91" s="7">
        <v>8</v>
      </c>
      <c r="XEA91" s="7">
        <v>97</v>
      </c>
      <c r="XEB91" s="7">
        <v>8</v>
      </c>
    </row>
    <row r="92" spans="1:21 16351:16356" x14ac:dyDescent="0.25">
      <c r="A92" t="s">
        <v>87</v>
      </c>
      <c r="B92" t="s">
        <v>232</v>
      </c>
      <c r="C92" s="7">
        <v>7</v>
      </c>
      <c r="D92" s="7">
        <v>2</v>
      </c>
      <c r="E92" s="7">
        <v>97.7</v>
      </c>
      <c r="Q92" t="s">
        <v>87</v>
      </c>
      <c r="R92" t="s">
        <v>232</v>
      </c>
      <c r="S92" t="s">
        <v>115</v>
      </c>
      <c r="T92" s="7">
        <v>67</v>
      </c>
      <c r="U92" s="7">
        <v>5.78</v>
      </c>
      <c r="XDW92" t="s">
        <v>87</v>
      </c>
      <c r="XDX92" t="s">
        <v>232</v>
      </c>
      <c r="XDY92" s="7">
        <v>67</v>
      </c>
      <c r="XDZ92" s="7">
        <v>7</v>
      </c>
      <c r="XEA92" s="7">
        <v>67</v>
      </c>
      <c r="XEB92" s="7">
        <v>7</v>
      </c>
    </row>
    <row r="93" spans="1:21 16351:16356" x14ac:dyDescent="0.25">
      <c r="A93" t="s">
        <v>88</v>
      </c>
      <c r="B93" t="s">
        <v>235</v>
      </c>
      <c r="C93" s="7">
        <v>4</v>
      </c>
      <c r="D93" s="7">
        <v>3</v>
      </c>
      <c r="E93" s="7">
        <v>95.74</v>
      </c>
      <c r="Q93" t="s">
        <v>88</v>
      </c>
      <c r="R93" t="s">
        <v>235</v>
      </c>
      <c r="S93" t="s">
        <v>116</v>
      </c>
      <c r="T93" s="7">
        <v>22</v>
      </c>
      <c r="U93" s="7">
        <v>10.45</v>
      </c>
      <c r="XDW93" t="s">
        <v>88</v>
      </c>
      <c r="XDX93" t="s">
        <v>235</v>
      </c>
      <c r="XDY93" s="7">
        <v>22</v>
      </c>
      <c r="XDZ93" s="7">
        <v>4</v>
      </c>
      <c r="XEA93" s="7">
        <v>22</v>
      </c>
      <c r="XEB93" s="7">
        <v>4</v>
      </c>
    </row>
    <row r="94" spans="1:21 16351:16356" x14ac:dyDescent="0.25">
      <c r="A94" t="s">
        <v>89</v>
      </c>
      <c r="B94" t="s">
        <v>228</v>
      </c>
      <c r="C94" s="7">
        <v>0</v>
      </c>
      <c r="D94" s="7">
        <v>1</v>
      </c>
      <c r="E94" s="7">
        <v>68.510000000000005</v>
      </c>
      <c r="Q94" t="s">
        <v>89</v>
      </c>
      <c r="R94" t="s">
        <v>228</v>
      </c>
      <c r="S94" t="s">
        <v>118</v>
      </c>
      <c r="T94" s="7">
        <v>94</v>
      </c>
      <c r="U94" s="7">
        <v>6.72</v>
      </c>
      <c r="XDW94" t="s">
        <v>89</v>
      </c>
      <c r="XDX94" t="s">
        <v>228</v>
      </c>
      <c r="XDY94" s="7">
        <v>94</v>
      </c>
      <c r="XDZ94" s="7">
        <v>0</v>
      </c>
      <c r="XEA94" s="7">
        <v>94</v>
      </c>
      <c r="XEB94" s="7">
        <v>0</v>
      </c>
    </row>
    <row r="95" spans="1:21 16351:16356" x14ac:dyDescent="0.25">
      <c r="A95" t="s">
        <v>90</v>
      </c>
      <c r="B95" t="s">
        <v>231</v>
      </c>
      <c r="C95" s="7">
        <v>6</v>
      </c>
      <c r="D95" s="7">
        <v>0</v>
      </c>
      <c r="E95" s="7">
        <v>50.77</v>
      </c>
      <c r="Q95" t="s">
        <v>90</v>
      </c>
      <c r="R95" t="s">
        <v>231</v>
      </c>
      <c r="S95" t="s">
        <v>115</v>
      </c>
      <c r="T95" s="7">
        <v>48</v>
      </c>
      <c r="U95" s="7">
        <v>6.41</v>
      </c>
      <c r="XDW95" t="s">
        <v>90</v>
      </c>
      <c r="XDX95" t="s">
        <v>231</v>
      </c>
      <c r="XDY95" s="7">
        <v>48</v>
      </c>
      <c r="XDZ95" s="7">
        <v>6</v>
      </c>
      <c r="XEA95" s="7">
        <v>48</v>
      </c>
      <c r="XEB95" s="7">
        <v>6</v>
      </c>
    </row>
    <row r="96" spans="1:21 16351:16356" x14ac:dyDescent="0.25">
      <c r="A96" t="s">
        <v>91</v>
      </c>
      <c r="B96" t="s">
        <v>247</v>
      </c>
      <c r="C96" s="7">
        <v>4</v>
      </c>
      <c r="D96" s="7">
        <v>5</v>
      </c>
      <c r="E96" s="7">
        <v>96.42</v>
      </c>
      <c r="Q96" t="s">
        <v>91</v>
      </c>
      <c r="R96" t="s">
        <v>247</v>
      </c>
      <c r="S96" t="s">
        <v>116</v>
      </c>
      <c r="T96" s="7">
        <v>38</v>
      </c>
      <c r="U96" s="7">
        <v>1.7</v>
      </c>
      <c r="XDW96" t="s">
        <v>91</v>
      </c>
      <c r="XDX96" t="s">
        <v>247</v>
      </c>
      <c r="XDY96" s="7">
        <v>38</v>
      </c>
      <c r="XDZ96" s="7">
        <v>4</v>
      </c>
      <c r="XEA96" s="7">
        <v>38</v>
      </c>
      <c r="XEB96" s="7">
        <v>4</v>
      </c>
    </row>
    <row r="97" spans="1:21 16351:16356" x14ac:dyDescent="0.25">
      <c r="A97" t="s">
        <v>92</v>
      </c>
      <c r="B97" t="s">
        <v>223</v>
      </c>
      <c r="C97" s="7">
        <v>5</v>
      </c>
      <c r="D97" s="7">
        <v>4</v>
      </c>
      <c r="E97" s="7">
        <v>71.41</v>
      </c>
      <c r="Q97" t="s">
        <v>92</v>
      </c>
      <c r="R97" t="s">
        <v>223</v>
      </c>
      <c r="S97" t="s">
        <v>115</v>
      </c>
      <c r="T97" s="7">
        <v>78</v>
      </c>
      <c r="U97" s="7">
        <v>12.58</v>
      </c>
      <c r="XDW97" t="s">
        <v>92</v>
      </c>
      <c r="XDX97" t="s">
        <v>223</v>
      </c>
      <c r="XDY97" s="7">
        <v>78</v>
      </c>
      <c r="XDZ97" s="7">
        <v>5</v>
      </c>
      <c r="XEA97" s="7">
        <v>78</v>
      </c>
      <c r="XEB97" s="7">
        <v>5</v>
      </c>
    </row>
    <row r="98" spans="1:21 16351:16356" x14ac:dyDescent="0.25">
      <c r="A98" t="s">
        <v>93</v>
      </c>
      <c r="B98" t="s">
        <v>239</v>
      </c>
      <c r="C98" s="7">
        <v>6</v>
      </c>
      <c r="D98" s="7">
        <v>3</v>
      </c>
      <c r="E98" s="7">
        <v>98.33</v>
      </c>
      <c r="Q98" t="s">
        <v>93</v>
      </c>
      <c r="R98" t="s">
        <v>239</v>
      </c>
      <c r="S98" t="s">
        <v>115</v>
      </c>
      <c r="T98" s="7">
        <v>66</v>
      </c>
      <c r="U98" s="7">
        <v>10.55</v>
      </c>
      <c r="XDW98" t="s">
        <v>93</v>
      </c>
      <c r="XDX98" t="s">
        <v>239</v>
      </c>
      <c r="XDY98" s="7">
        <v>66</v>
      </c>
      <c r="XDZ98" s="7">
        <v>6</v>
      </c>
      <c r="XEA98" s="7">
        <v>66</v>
      </c>
      <c r="XEB98" s="7">
        <v>6</v>
      </c>
    </row>
    <row r="99" spans="1:21 16351:16356" x14ac:dyDescent="0.25">
      <c r="A99" t="s">
        <v>94</v>
      </c>
      <c r="B99" t="s">
        <v>245</v>
      </c>
      <c r="C99" s="7">
        <v>2</v>
      </c>
      <c r="D99" s="7">
        <v>0</v>
      </c>
      <c r="E99" s="7">
        <v>98.18</v>
      </c>
      <c r="Q99" t="s">
        <v>94</v>
      </c>
      <c r="R99" t="s">
        <v>245</v>
      </c>
      <c r="S99" t="s">
        <v>118</v>
      </c>
      <c r="T99" s="7">
        <v>18</v>
      </c>
      <c r="U99" s="7">
        <v>1.98</v>
      </c>
      <c r="XDW99" t="s">
        <v>94</v>
      </c>
      <c r="XDX99" t="s">
        <v>245</v>
      </c>
      <c r="XDY99" s="7">
        <v>18</v>
      </c>
      <c r="XDZ99" s="7">
        <v>2</v>
      </c>
      <c r="XEA99" s="7">
        <v>18</v>
      </c>
      <c r="XEB99" s="7">
        <v>2</v>
      </c>
    </row>
    <row r="100" spans="1:21 16351:16356" x14ac:dyDescent="0.25">
      <c r="A100" t="s">
        <v>95</v>
      </c>
      <c r="B100" t="s">
        <v>228</v>
      </c>
      <c r="C100" s="7">
        <v>9</v>
      </c>
      <c r="D100" s="7">
        <v>4</v>
      </c>
      <c r="E100" s="7">
        <v>92.65</v>
      </c>
      <c r="Q100" t="s">
        <v>95</v>
      </c>
      <c r="R100" t="s">
        <v>228</v>
      </c>
      <c r="S100" t="s">
        <v>117</v>
      </c>
      <c r="T100" s="7">
        <v>99</v>
      </c>
      <c r="U100" s="7">
        <v>6.29</v>
      </c>
      <c r="XDW100" t="s">
        <v>95</v>
      </c>
      <c r="XDX100" t="s">
        <v>228</v>
      </c>
      <c r="XDY100" s="7">
        <v>99</v>
      </c>
      <c r="XDZ100" s="7">
        <v>9</v>
      </c>
      <c r="XEA100" s="7">
        <v>99</v>
      </c>
      <c r="XEB100" s="7">
        <v>9</v>
      </c>
    </row>
    <row r="101" spans="1:21 16351:16356" x14ac:dyDescent="0.25">
      <c r="A101" t="s">
        <v>96</v>
      </c>
      <c r="B101" t="s">
        <v>238</v>
      </c>
      <c r="C101" s="7">
        <v>2</v>
      </c>
      <c r="D101" s="7">
        <v>0</v>
      </c>
      <c r="E101" s="7">
        <v>64.72</v>
      </c>
      <c r="Q101" t="s">
        <v>96</v>
      </c>
      <c r="R101" t="s">
        <v>238</v>
      </c>
      <c r="S101" t="s">
        <v>117</v>
      </c>
      <c r="T101" s="7">
        <v>52</v>
      </c>
      <c r="U101" s="7">
        <v>18.260000000000002</v>
      </c>
      <c r="XDW101" t="s">
        <v>96</v>
      </c>
      <c r="XDX101" t="s">
        <v>238</v>
      </c>
      <c r="XDY101" s="7">
        <v>52</v>
      </c>
      <c r="XDZ101" s="7">
        <v>2</v>
      </c>
      <c r="XEA101" s="7">
        <v>52</v>
      </c>
      <c r="XEB101" s="7">
        <v>2</v>
      </c>
    </row>
    <row r="102" spans="1:21 16351:16356" x14ac:dyDescent="0.25">
      <c r="A102" t="s">
        <v>97</v>
      </c>
      <c r="B102" t="s">
        <v>223</v>
      </c>
      <c r="C102" s="7">
        <v>4</v>
      </c>
      <c r="D102" s="7">
        <v>2</v>
      </c>
      <c r="E102" s="7">
        <v>69.25</v>
      </c>
      <c r="Q102" t="s">
        <v>97</v>
      </c>
      <c r="R102" t="s">
        <v>223</v>
      </c>
      <c r="S102" t="s">
        <v>116</v>
      </c>
      <c r="T102" s="7">
        <v>19</v>
      </c>
      <c r="U102" s="7">
        <v>5.55</v>
      </c>
      <c r="XDW102" t="s">
        <v>97</v>
      </c>
      <c r="XDX102" t="s">
        <v>223</v>
      </c>
      <c r="XDY102" s="7">
        <v>19</v>
      </c>
      <c r="XDZ102" s="7">
        <v>4</v>
      </c>
      <c r="XEA102" s="7">
        <v>19</v>
      </c>
      <c r="XEB102" s="7">
        <v>4</v>
      </c>
    </row>
    <row r="103" spans="1:21 16351:16356" x14ac:dyDescent="0.25">
      <c r="A103" t="s">
        <v>98</v>
      </c>
      <c r="B103" t="s">
        <v>238</v>
      </c>
      <c r="C103" s="7">
        <v>5</v>
      </c>
      <c r="D103" s="7">
        <v>0</v>
      </c>
      <c r="E103" s="7">
        <v>92.56</v>
      </c>
      <c r="Q103" t="s">
        <v>98</v>
      </c>
      <c r="R103" t="s">
        <v>238</v>
      </c>
      <c r="S103" t="s">
        <v>117</v>
      </c>
      <c r="T103" s="7">
        <v>76</v>
      </c>
      <c r="U103" s="7">
        <v>3.75</v>
      </c>
      <c r="XDW103" t="s">
        <v>98</v>
      </c>
      <c r="XDX103" t="s">
        <v>238</v>
      </c>
      <c r="XDY103" s="7">
        <v>76</v>
      </c>
      <c r="XDZ103" s="7">
        <v>5</v>
      </c>
      <c r="XEA103" s="7">
        <v>76</v>
      </c>
      <c r="XEB103" s="7">
        <v>5</v>
      </c>
    </row>
    <row r="104" spans="1:21 16351:16356" x14ac:dyDescent="0.25">
      <c r="A104" t="s">
        <v>99</v>
      </c>
      <c r="B104" t="s">
        <v>220</v>
      </c>
      <c r="C104" s="7">
        <v>8</v>
      </c>
      <c r="D104" s="7">
        <v>5</v>
      </c>
      <c r="E104" s="7">
        <v>65.849999999999994</v>
      </c>
      <c r="Q104" t="s">
        <v>99</v>
      </c>
      <c r="R104" t="s">
        <v>220</v>
      </c>
      <c r="S104" t="s">
        <v>116</v>
      </c>
      <c r="T104" s="7">
        <v>82</v>
      </c>
      <c r="U104" s="7">
        <v>10.3</v>
      </c>
      <c r="XDW104" t="s">
        <v>99</v>
      </c>
      <c r="XDX104" t="s">
        <v>220</v>
      </c>
      <c r="XDY104" s="7">
        <v>82</v>
      </c>
      <c r="XDZ104" s="7">
        <v>8</v>
      </c>
      <c r="XEA104" s="7">
        <v>82</v>
      </c>
      <c r="XEB104" s="7">
        <v>8</v>
      </c>
    </row>
    <row r="105" spans="1:21 16351:16356" x14ac:dyDescent="0.25">
      <c r="A105" t="s">
        <v>100</v>
      </c>
      <c r="B105" t="s">
        <v>242</v>
      </c>
      <c r="C105" s="7">
        <v>4</v>
      </c>
      <c r="D105" s="7">
        <v>0</v>
      </c>
      <c r="E105" s="7">
        <v>58.47</v>
      </c>
      <c r="Q105" t="s">
        <v>100</v>
      </c>
      <c r="R105" t="s">
        <v>242</v>
      </c>
      <c r="S105" t="s">
        <v>117</v>
      </c>
      <c r="T105" s="7">
        <v>91</v>
      </c>
      <c r="U105" s="7">
        <v>19.73</v>
      </c>
      <c r="XDW105" t="s">
        <v>100</v>
      </c>
      <c r="XDX105" t="s">
        <v>242</v>
      </c>
      <c r="XDY105" s="7">
        <v>91</v>
      </c>
      <c r="XDZ105" s="7">
        <v>4</v>
      </c>
      <c r="XEA105" s="7">
        <v>91</v>
      </c>
      <c r="XEB105" s="7">
        <v>4</v>
      </c>
    </row>
    <row r="106" spans="1:21 16351:16356" x14ac:dyDescent="0.25">
      <c r="A106" t="s">
        <v>101</v>
      </c>
      <c r="B106" t="s">
        <v>248</v>
      </c>
      <c r="C106" s="7">
        <v>0</v>
      </c>
      <c r="D106" s="7">
        <v>0</v>
      </c>
      <c r="E106" s="7">
        <v>77.84</v>
      </c>
      <c r="Q106" t="s">
        <v>101</v>
      </c>
      <c r="R106" t="s">
        <v>248</v>
      </c>
      <c r="S106" t="s">
        <v>118</v>
      </c>
      <c r="T106" s="7">
        <v>66</v>
      </c>
      <c r="U106" s="7">
        <v>5.6</v>
      </c>
      <c r="XDW106" t="s">
        <v>101</v>
      </c>
      <c r="XDX106" t="s">
        <v>248</v>
      </c>
      <c r="XDY106" s="7">
        <v>66</v>
      </c>
      <c r="XDZ106" s="7">
        <v>0</v>
      </c>
      <c r="XEA106" s="7">
        <v>66</v>
      </c>
      <c r="XEB106" s="7">
        <v>0</v>
      </c>
    </row>
    <row r="107" spans="1:21 16351:16356" x14ac:dyDescent="0.25">
      <c r="A107" t="s">
        <v>102</v>
      </c>
      <c r="B107" t="s">
        <v>236</v>
      </c>
      <c r="C107" s="7">
        <v>3</v>
      </c>
      <c r="D107" s="7">
        <v>5</v>
      </c>
      <c r="E107" s="7">
        <v>96.81</v>
      </c>
      <c r="Q107" t="s">
        <v>102</v>
      </c>
      <c r="R107" t="s">
        <v>236</v>
      </c>
      <c r="S107" t="s">
        <v>116</v>
      </c>
      <c r="T107" s="7">
        <v>44</v>
      </c>
      <c r="U107" s="7">
        <v>13.77</v>
      </c>
      <c r="XDW107" t="s">
        <v>102</v>
      </c>
      <c r="XDX107" t="s">
        <v>236</v>
      </c>
      <c r="XDY107" s="7">
        <v>44</v>
      </c>
      <c r="XDZ107" s="7">
        <v>3</v>
      </c>
      <c r="XEA107" s="7">
        <v>44</v>
      </c>
      <c r="XEB107" s="7">
        <v>3</v>
      </c>
    </row>
    <row r="108" spans="1:21 16351:16356" x14ac:dyDescent="0.25">
      <c r="A108" t="s">
        <v>103</v>
      </c>
      <c r="B108" t="s">
        <v>219</v>
      </c>
      <c r="C108" s="7">
        <v>4</v>
      </c>
      <c r="D108" s="7">
        <v>3</v>
      </c>
      <c r="E108" s="7">
        <v>84.8</v>
      </c>
      <c r="Q108" t="s">
        <v>103</v>
      </c>
      <c r="R108" t="s">
        <v>219</v>
      </c>
      <c r="S108" t="s">
        <v>117</v>
      </c>
      <c r="T108" s="7">
        <v>89</v>
      </c>
      <c r="U108" s="7">
        <v>15.47</v>
      </c>
      <c r="XDW108" t="s">
        <v>103</v>
      </c>
      <c r="XDX108" t="s">
        <v>219</v>
      </c>
      <c r="XDY108" s="7">
        <v>89</v>
      </c>
      <c r="XDZ108" s="7">
        <v>4</v>
      </c>
      <c r="XEA108" s="7">
        <v>89</v>
      </c>
      <c r="XEB108" s="7">
        <v>4</v>
      </c>
    </row>
    <row r="109" spans="1:21 16351:16356" x14ac:dyDescent="0.25">
      <c r="A109" t="s">
        <v>104</v>
      </c>
      <c r="B109" t="s">
        <v>246</v>
      </c>
      <c r="C109" s="7">
        <v>9</v>
      </c>
      <c r="D109" s="7">
        <v>0</v>
      </c>
      <c r="E109" s="7">
        <v>78.5</v>
      </c>
      <c r="Q109" t="s">
        <v>104</v>
      </c>
      <c r="R109" t="s">
        <v>246</v>
      </c>
      <c r="S109" t="s">
        <v>118</v>
      </c>
      <c r="T109" s="7">
        <v>84</v>
      </c>
      <c r="U109" s="7">
        <v>5.52</v>
      </c>
      <c r="XDW109" t="s">
        <v>104</v>
      </c>
      <c r="XDX109" t="s">
        <v>246</v>
      </c>
      <c r="XDY109" s="7">
        <v>84</v>
      </c>
      <c r="XDZ109" s="7">
        <v>9</v>
      </c>
      <c r="XEA109" s="7">
        <v>84</v>
      </c>
      <c r="XEB109" s="7">
        <v>9</v>
      </c>
    </row>
    <row r="110" spans="1:21 16351:16356" x14ac:dyDescent="0.25">
      <c r="A110" t="s">
        <v>105</v>
      </c>
      <c r="B110" t="s">
        <v>243</v>
      </c>
      <c r="C110" s="7">
        <v>9</v>
      </c>
      <c r="D110" s="7">
        <v>5</v>
      </c>
      <c r="E110" s="7">
        <v>54.86</v>
      </c>
      <c r="Q110" t="s">
        <v>105</v>
      </c>
      <c r="R110" t="s">
        <v>243</v>
      </c>
      <c r="S110" t="s">
        <v>117</v>
      </c>
      <c r="T110" s="7">
        <v>86</v>
      </c>
      <c r="U110" s="7">
        <v>14.84</v>
      </c>
      <c r="XDW110" t="s">
        <v>105</v>
      </c>
      <c r="XDX110" t="s">
        <v>243</v>
      </c>
      <c r="XDY110" s="7">
        <v>86</v>
      </c>
      <c r="XDZ110" s="7">
        <v>9</v>
      </c>
      <c r="XEA110" s="7">
        <v>86</v>
      </c>
      <c r="XEB110" s="7">
        <v>9</v>
      </c>
    </row>
    <row r="111" spans="1:21 16351:16356" x14ac:dyDescent="0.25">
      <c r="A111" t="s">
        <v>106</v>
      </c>
      <c r="B111" t="s">
        <v>240</v>
      </c>
      <c r="C111" s="7">
        <v>4</v>
      </c>
      <c r="D111" s="7">
        <v>4</v>
      </c>
      <c r="E111" s="7">
        <v>80.75</v>
      </c>
      <c r="Q111" t="s">
        <v>106</v>
      </c>
      <c r="R111" t="s">
        <v>240</v>
      </c>
      <c r="S111" t="s">
        <v>115</v>
      </c>
      <c r="T111" s="7">
        <v>57</v>
      </c>
      <c r="U111" s="7">
        <v>7.99</v>
      </c>
      <c r="XDW111" t="s">
        <v>106</v>
      </c>
      <c r="XDX111" t="s">
        <v>240</v>
      </c>
      <c r="XDY111" s="7">
        <v>57</v>
      </c>
      <c r="XDZ111" s="7">
        <v>4</v>
      </c>
      <c r="XEA111" s="7">
        <v>57</v>
      </c>
      <c r="XEB111" s="7">
        <v>4</v>
      </c>
    </row>
    <row r="112" spans="1:21 16351:16356" x14ac:dyDescent="0.25">
      <c r="A112" t="s">
        <v>107</v>
      </c>
      <c r="B112" t="s">
        <v>243</v>
      </c>
      <c r="C112" s="7">
        <v>6</v>
      </c>
      <c r="D112" s="7">
        <v>2</v>
      </c>
      <c r="E112" s="7">
        <v>99.5</v>
      </c>
      <c r="Q112" t="s">
        <v>107</v>
      </c>
      <c r="R112" t="s">
        <v>243</v>
      </c>
      <c r="S112" t="s">
        <v>115</v>
      </c>
      <c r="T112" s="7">
        <v>28</v>
      </c>
      <c r="U112" s="7">
        <v>13.01</v>
      </c>
      <c r="XDW112" t="s">
        <v>107</v>
      </c>
      <c r="XDX112" t="s">
        <v>243</v>
      </c>
      <c r="XDY112" s="7">
        <v>28</v>
      </c>
      <c r="XDZ112" s="7">
        <v>6</v>
      </c>
      <c r="XEA112" s="7">
        <v>28</v>
      </c>
      <c r="XEB112" s="7">
        <v>6</v>
      </c>
    </row>
    <row r="113" spans="1:21 16351:16356" x14ac:dyDescent="0.25">
      <c r="A113" t="s">
        <v>108</v>
      </c>
      <c r="B113" t="s">
        <v>243</v>
      </c>
      <c r="C113" s="7">
        <v>3</v>
      </c>
      <c r="D113" s="7">
        <v>2</v>
      </c>
      <c r="E113" s="7">
        <v>57</v>
      </c>
      <c r="Q113" t="s">
        <v>108</v>
      </c>
      <c r="R113" t="s">
        <v>243</v>
      </c>
      <c r="S113" t="s">
        <v>118</v>
      </c>
      <c r="T113" s="7">
        <v>30</v>
      </c>
      <c r="U113" s="7">
        <v>13.04</v>
      </c>
      <c r="XDW113" t="s">
        <v>108</v>
      </c>
      <c r="XDX113" t="s">
        <v>243</v>
      </c>
      <c r="XDY113" s="7">
        <v>30</v>
      </c>
      <c r="XDZ113" s="7">
        <v>3</v>
      </c>
      <c r="XEA113" s="7">
        <v>30</v>
      </c>
      <c r="XEB113" s="7">
        <v>3</v>
      </c>
    </row>
    <row r="114" spans="1:21 16351:16356" x14ac:dyDescent="0.25">
      <c r="A114" t="s">
        <v>109</v>
      </c>
      <c r="B114" t="s">
        <v>232</v>
      </c>
      <c r="C114" s="7">
        <v>0</v>
      </c>
      <c r="D114" s="7">
        <v>0</v>
      </c>
      <c r="E114" s="7">
        <v>75.92</v>
      </c>
      <c r="Q114" t="s">
        <v>109</v>
      </c>
      <c r="R114" t="s">
        <v>232</v>
      </c>
      <c r="S114" t="s">
        <v>115</v>
      </c>
      <c r="T114" s="7">
        <v>93</v>
      </c>
      <c r="U114" s="7">
        <v>11.18</v>
      </c>
      <c r="XDW114" t="s">
        <v>109</v>
      </c>
      <c r="XDX114" t="s">
        <v>232</v>
      </c>
      <c r="XDY114" s="7">
        <v>93</v>
      </c>
      <c r="XDZ114" s="7">
        <v>0</v>
      </c>
      <c r="XEA114" s="7">
        <v>93</v>
      </c>
      <c r="XEB114" s="7">
        <v>0</v>
      </c>
    </row>
    <row r="115" spans="1:21 16351:16356" x14ac:dyDescent="0.25">
      <c r="A115" t="s">
        <v>249</v>
      </c>
      <c r="C115" s="7">
        <v>511</v>
      </c>
      <c r="D115" s="7">
        <v>237</v>
      </c>
      <c r="E115" s="7">
        <v>7885.1100000000033</v>
      </c>
      <c r="Q115" t="s">
        <v>249</v>
      </c>
      <c r="T115" s="7">
        <v>5782</v>
      </c>
      <c r="U115" s="7">
        <v>1063.67</v>
      </c>
      <c r="XDW115" t="s">
        <v>249</v>
      </c>
      <c r="XDY115" s="7">
        <v>5782</v>
      </c>
      <c r="XDZ115" s="7">
        <v>511</v>
      </c>
      <c r="XEA115" s="7">
        <v>57.82</v>
      </c>
      <c r="XEB115" s="7">
        <v>5.1100000000000003</v>
      </c>
    </row>
  </sheetData>
  <conditionalFormatting pivot="1" sqref="C15:C114">
    <cfRule type="dataBar" priority="25">
      <dataBar>
        <cfvo type="min"/>
        <cfvo type="max"/>
        <color rgb="FF63C384"/>
      </dataBar>
      <extLst>
        <ext xmlns:x14="http://schemas.microsoft.com/office/spreadsheetml/2009/9/main" uri="{B025F937-C7B1-47D3-B67F-A62EFF666E3E}">
          <x14:id>{6A416515-1FDB-4F14-93BB-57F37A1A09CC}</x14:id>
        </ext>
      </extLst>
    </cfRule>
  </conditionalFormatting>
  <conditionalFormatting pivot="1" sqref="D15:D114">
    <cfRule type="dataBar" priority="24">
      <dataBar>
        <cfvo type="min"/>
        <cfvo type="max"/>
        <color rgb="FFFF555A"/>
      </dataBar>
      <extLst>
        <ext xmlns:x14="http://schemas.microsoft.com/office/spreadsheetml/2009/9/main" uri="{B025F937-C7B1-47D3-B67F-A62EFF666E3E}">
          <x14:id>{FAA719A0-680A-455B-850B-210DBCC5985E}</x14:id>
        </ext>
      </extLst>
    </cfRule>
  </conditionalFormatting>
  <conditionalFormatting pivot="1" sqref="E15:E114">
    <cfRule type="dataBar" priority="23">
      <dataBar>
        <cfvo type="min"/>
        <cfvo type="max"/>
        <color rgb="FF63C384"/>
      </dataBar>
      <extLst>
        <ext xmlns:x14="http://schemas.microsoft.com/office/spreadsheetml/2009/9/main" uri="{B025F937-C7B1-47D3-B67F-A62EFF666E3E}">
          <x14:id>{1E9A2C6A-A596-4961-B1FD-503294AF44D3}</x14:id>
        </ext>
      </extLst>
    </cfRule>
  </conditionalFormatting>
  <conditionalFormatting pivot="1" sqref="XDZ15:XDZ114">
    <cfRule type="dataBar" priority="21">
      <dataBar>
        <cfvo type="min"/>
        <cfvo type="max"/>
        <color rgb="FF63C384"/>
      </dataBar>
      <extLst>
        <ext xmlns:x14="http://schemas.microsoft.com/office/spreadsheetml/2009/9/main" uri="{B025F937-C7B1-47D3-B67F-A62EFF666E3E}">
          <x14:id>{AB35C070-AD05-460B-93DC-A872F095B744}</x14:id>
        </ext>
      </extLst>
    </cfRule>
  </conditionalFormatting>
  <conditionalFormatting pivot="1" sqref="XDY15:XDY114">
    <cfRule type="dataBar" priority="18">
      <dataBar>
        <cfvo type="min"/>
        <cfvo type="max"/>
        <color rgb="FF638EC6"/>
      </dataBar>
      <extLst>
        <ext xmlns:x14="http://schemas.microsoft.com/office/spreadsheetml/2009/9/main" uri="{B025F937-C7B1-47D3-B67F-A62EFF666E3E}">
          <x14:id>{0785ADD5-5FAB-4515-80EB-EA58362CBC6E}</x14:id>
        </ext>
      </extLst>
    </cfRule>
  </conditionalFormatting>
  <conditionalFormatting pivot="1" sqref="XEA15:XEA114">
    <cfRule type="dataBar" priority="17">
      <dataBar>
        <cfvo type="min"/>
        <cfvo type="max"/>
        <color rgb="FF008AEF"/>
      </dataBar>
      <extLst>
        <ext xmlns:x14="http://schemas.microsoft.com/office/spreadsheetml/2009/9/main" uri="{B025F937-C7B1-47D3-B67F-A62EFF666E3E}">
          <x14:id>{EA824F1D-000D-423C-B135-A1BD378AB1E0}</x14:id>
        </ext>
      </extLst>
    </cfRule>
  </conditionalFormatting>
  <conditionalFormatting pivot="1" sqref="XEB15:XEB114">
    <cfRule type="dataBar" priority="16">
      <dataBar>
        <cfvo type="min"/>
        <cfvo type="max"/>
        <color rgb="FF63C384"/>
      </dataBar>
      <extLst>
        <ext xmlns:x14="http://schemas.microsoft.com/office/spreadsheetml/2009/9/main" uri="{B025F937-C7B1-47D3-B67F-A62EFF666E3E}">
          <x14:id>{C30F5284-6D9D-48D6-9AC1-54A341A9CF62}</x14:id>
        </ext>
      </extLst>
    </cfRule>
  </conditionalFormatting>
  <conditionalFormatting pivot="1" sqref="I15:I18">
    <cfRule type="dataBar" priority="13">
      <dataBar>
        <cfvo type="min"/>
        <cfvo type="max"/>
        <color rgb="FF63C384"/>
      </dataBar>
      <extLst>
        <ext xmlns:x14="http://schemas.microsoft.com/office/spreadsheetml/2009/9/main" uri="{B025F937-C7B1-47D3-B67F-A62EFF666E3E}">
          <x14:id>{6C44D9AD-3462-4C39-A2A9-9FEDDE41A790}</x14:id>
        </ext>
      </extLst>
    </cfRule>
  </conditionalFormatting>
  <conditionalFormatting pivot="1" sqref="I28:I30">
    <cfRule type="dataBar" priority="8">
      <dataBar>
        <cfvo type="min"/>
        <cfvo type="max"/>
        <color rgb="FF63C384"/>
      </dataBar>
      <extLst>
        <ext xmlns:x14="http://schemas.microsoft.com/office/spreadsheetml/2009/9/main" uri="{B025F937-C7B1-47D3-B67F-A62EFF666E3E}">
          <x14:id>{0D919301-5002-4605-96E3-7355BEDC3141}</x14:id>
        </ext>
      </extLst>
    </cfRule>
  </conditionalFormatting>
  <conditionalFormatting pivot="1" sqref="U15:U114">
    <cfRule type="dataBar" priority="6">
      <dataBar>
        <cfvo type="min"/>
        <cfvo type="max"/>
        <color rgb="FFFFB628"/>
      </dataBar>
      <extLst>
        <ext xmlns:x14="http://schemas.microsoft.com/office/spreadsheetml/2009/9/main" uri="{B025F937-C7B1-47D3-B67F-A62EFF666E3E}">
          <x14:id>{A267C56B-AF85-4DCE-9C1E-B5D41C65645E}</x14:id>
        </ext>
      </extLst>
    </cfRule>
  </conditionalFormatting>
  <conditionalFormatting pivot="1" sqref="T15:T114">
    <cfRule type="dataBar" priority="5">
      <dataBar>
        <cfvo type="min"/>
        <cfvo type="max"/>
        <color rgb="FF63C384"/>
      </dataBar>
      <extLst>
        <ext xmlns:x14="http://schemas.microsoft.com/office/spreadsheetml/2009/9/main" uri="{B025F937-C7B1-47D3-B67F-A62EFF666E3E}">
          <x14:id>{4AFC11D2-4477-48B8-AB36-F266D6D00557}</x14:id>
        </ext>
      </extLst>
    </cfRule>
  </conditionalFormatting>
  <conditionalFormatting pivot="1" sqref="N15:N17">
    <cfRule type="colorScale" priority="4">
      <colorScale>
        <cfvo type="min"/>
        <cfvo type="percentile" val="50"/>
        <cfvo type="max"/>
        <color rgb="FF63BE7B"/>
        <color rgb="FFFFEB84"/>
        <color rgb="FFF8696B"/>
      </colorScale>
    </cfRule>
  </conditionalFormatting>
  <conditionalFormatting pivot="1" sqref="N28:N30">
    <cfRule type="colorScale" priority="3">
      <colorScale>
        <cfvo type="min"/>
        <cfvo type="percentile" val="50"/>
        <cfvo type="max"/>
        <color rgb="FFF8696B"/>
        <color rgb="FFFFEB84"/>
        <color rgb="FF63BE7B"/>
      </colorScale>
    </cfRule>
  </conditionalFormatting>
  <conditionalFormatting pivot="1" sqref="O5:O7">
    <cfRule type="iconSet" priority="1">
      <iconSet>
        <cfvo type="percent" val="0"/>
        <cfvo type="percent" val="33"/>
        <cfvo type="percent" val="67"/>
      </iconSet>
    </cfRule>
  </conditionalFormatting>
  <pageMargins left="0.7" right="0.7" top="0.75" bottom="0.75" header="0.3" footer="0.3"/>
  <drawing r:id="rId9"/>
  <extLst>
    <ext xmlns:x14="http://schemas.microsoft.com/office/spreadsheetml/2009/9/main" uri="{78C0D931-6437-407d-A8EE-F0AAD7539E65}">
      <x14:conditionalFormattings>
        <x14:conditionalFormatting xmlns:xm="http://schemas.microsoft.com/office/excel/2006/main" pivot="1">
          <x14:cfRule type="dataBar" id="{6A416515-1FDB-4F14-93BB-57F37A1A09CC}">
            <x14:dataBar minLength="0" maxLength="100" gradient="0">
              <x14:cfvo type="autoMin"/>
              <x14:cfvo type="autoMax"/>
              <x14:negativeFillColor rgb="FFFF0000"/>
              <x14:axisColor rgb="FF000000"/>
            </x14:dataBar>
          </x14:cfRule>
          <xm:sqref>C15:C114</xm:sqref>
        </x14:conditionalFormatting>
        <x14:conditionalFormatting xmlns:xm="http://schemas.microsoft.com/office/excel/2006/main" pivot="1">
          <x14:cfRule type="dataBar" id="{FAA719A0-680A-455B-850B-210DBCC5985E}">
            <x14:dataBar minLength="0" maxLength="100" gradient="0">
              <x14:cfvo type="autoMin"/>
              <x14:cfvo type="autoMax"/>
              <x14:negativeFillColor rgb="FFFF0000"/>
              <x14:axisColor rgb="FF000000"/>
            </x14:dataBar>
          </x14:cfRule>
          <xm:sqref>D15:D114</xm:sqref>
        </x14:conditionalFormatting>
        <x14:conditionalFormatting xmlns:xm="http://schemas.microsoft.com/office/excel/2006/main" pivot="1">
          <x14:cfRule type="dataBar" id="{1E9A2C6A-A596-4961-B1FD-503294AF44D3}">
            <x14:dataBar minLength="0" maxLength="100" gradient="0">
              <x14:cfvo type="autoMin"/>
              <x14:cfvo type="autoMax"/>
              <x14:negativeFillColor rgb="FFFF0000"/>
              <x14:axisColor rgb="FF000000"/>
            </x14:dataBar>
          </x14:cfRule>
          <xm:sqref>E15:E114</xm:sqref>
        </x14:conditionalFormatting>
        <x14:conditionalFormatting xmlns:xm="http://schemas.microsoft.com/office/excel/2006/main" pivot="1">
          <x14:cfRule type="dataBar" id="{AB35C070-AD05-460B-93DC-A872F095B744}">
            <x14:dataBar minLength="0" maxLength="100" gradient="0">
              <x14:cfvo type="autoMin"/>
              <x14:cfvo type="autoMax"/>
              <x14:negativeFillColor rgb="FFFF0000"/>
              <x14:axisColor rgb="FF000000"/>
            </x14:dataBar>
          </x14:cfRule>
          <xm:sqref>XDZ15:XDZ114</xm:sqref>
        </x14:conditionalFormatting>
        <x14:conditionalFormatting xmlns:xm="http://schemas.microsoft.com/office/excel/2006/main" pivot="1">
          <x14:cfRule type="dataBar" id="{0785ADD5-5FAB-4515-80EB-EA58362CBC6E}">
            <x14:dataBar minLength="0" maxLength="100" gradient="0">
              <x14:cfvo type="autoMin"/>
              <x14:cfvo type="autoMax"/>
              <x14:negativeFillColor rgb="FFFF0000"/>
              <x14:axisColor rgb="FF000000"/>
            </x14:dataBar>
          </x14:cfRule>
          <xm:sqref>XDY15:XDY114</xm:sqref>
        </x14:conditionalFormatting>
        <x14:conditionalFormatting xmlns:xm="http://schemas.microsoft.com/office/excel/2006/main" pivot="1">
          <x14:cfRule type="dataBar" id="{EA824F1D-000D-423C-B135-A1BD378AB1E0}">
            <x14:dataBar minLength="0" maxLength="100" gradient="0">
              <x14:cfvo type="autoMin"/>
              <x14:cfvo type="autoMax"/>
              <x14:negativeFillColor rgb="FFFF0000"/>
              <x14:axisColor rgb="FF000000"/>
            </x14:dataBar>
          </x14:cfRule>
          <xm:sqref>XEA15:XEA114</xm:sqref>
        </x14:conditionalFormatting>
        <x14:conditionalFormatting xmlns:xm="http://schemas.microsoft.com/office/excel/2006/main" pivot="1">
          <x14:cfRule type="dataBar" id="{C30F5284-6D9D-48D6-9AC1-54A341A9CF62}">
            <x14:dataBar minLength="0" maxLength="100" border="1" negativeBarBorderColorSameAsPositive="0">
              <x14:cfvo type="autoMin"/>
              <x14:cfvo type="autoMax"/>
              <x14:borderColor rgb="FF63C384"/>
              <x14:negativeFillColor rgb="FFFF0000"/>
              <x14:negativeBorderColor rgb="FFFF0000"/>
              <x14:axisColor rgb="FF000000"/>
            </x14:dataBar>
          </x14:cfRule>
          <xm:sqref>XEB15:XEB114</xm:sqref>
        </x14:conditionalFormatting>
        <x14:conditionalFormatting xmlns:xm="http://schemas.microsoft.com/office/excel/2006/main" pivot="1">
          <x14:cfRule type="dataBar" id="{6C44D9AD-3462-4C39-A2A9-9FEDDE41A790}">
            <x14:dataBar minLength="0" maxLength="100" gradient="0">
              <x14:cfvo type="autoMin"/>
              <x14:cfvo type="autoMax"/>
              <x14:negativeFillColor rgb="FFFF0000"/>
              <x14:axisColor rgb="FF000000"/>
            </x14:dataBar>
          </x14:cfRule>
          <xm:sqref>I15:I18</xm:sqref>
        </x14:conditionalFormatting>
        <x14:conditionalFormatting xmlns:xm="http://schemas.microsoft.com/office/excel/2006/main" pivot="1">
          <x14:cfRule type="dataBar" id="{0D919301-5002-4605-96E3-7355BEDC3141}">
            <x14:dataBar minLength="0" maxLength="100" gradient="0">
              <x14:cfvo type="autoMin"/>
              <x14:cfvo type="autoMax"/>
              <x14:negativeFillColor rgb="FFFF0000"/>
              <x14:axisColor rgb="FF000000"/>
            </x14:dataBar>
          </x14:cfRule>
          <xm:sqref>I28:I30</xm:sqref>
        </x14:conditionalFormatting>
        <x14:conditionalFormatting xmlns:xm="http://schemas.microsoft.com/office/excel/2006/main" pivot="1">
          <x14:cfRule type="dataBar" id="{A267C56B-AF85-4DCE-9C1E-B5D41C65645E}">
            <x14:dataBar minLength="0" maxLength="100" border="1" negativeBarBorderColorSameAsPositive="0">
              <x14:cfvo type="autoMin"/>
              <x14:cfvo type="autoMax"/>
              <x14:borderColor rgb="FFFFB628"/>
              <x14:negativeFillColor rgb="FFFF0000"/>
              <x14:negativeBorderColor rgb="FFFF0000"/>
              <x14:axisColor rgb="FF000000"/>
            </x14:dataBar>
          </x14:cfRule>
          <xm:sqref>U15:U114</xm:sqref>
        </x14:conditionalFormatting>
        <x14:conditionalFormatting xmlns:xm="http://schemas.microsoft.com/office/excel/2006/main" pivot="1">
          <x14:cfRule type="dataBar" id="{4AFC11D2-4477-48B8-AB36-F266D6D00557}">
            <x14:dataBar minLength="0" maxLength="100" border="1" negativeBarBorderColorSameAsPositive="0">
              <x14:cfvo type="autoMin"/>
              <x14:cfvo type="autoMax"/>
              <x14:borderColor rgb="FF63C384"/>
              <x14:negativeFillColor rgb="FFFF0000"/>
              <x14:negativeBorderColor rgb="FFFF0000"/>
              <x14:axisColor rgb="FF000000"/>
            </x14:dataBar>
          </x14:cfRule>
          <xm:sqref>T15:T114</xm:sqref>
        </x14:conditionalFormatting>
      </x14:conditionalFormattings>
    </ex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F08D4-5B9C-4FF3-9B5C-EEEF7EB5AE0F}">
  <sheetPr codeName="ShMAILER"/>
  <dimension ref="B2:V18"/>
  <sheetViews>
    <sheetView tabSelected="1" topLeftCell="C1" workbookViewId="0">
      <selection activeCell="G6" sqref="G6"/>
    </sheetView>
  </sheetViews>
  <sheetFormatPr defaultRowHeight="15" x14ac:dyDescent="0.25"/>
  <cols>
    <col min="2" max="2" width="10.7109375" customWidth="1"/>
    <col min="3" max="3" width="14.85546875" bestFit="1" customWidth="1"/>
    <col min="4" max="4" width="18.140625" bestFit="1" customWidth="1"/>
    <col min="5" max="5" width="29.85546875" bestFit="1" customWidth="1"/>
    <col min="6" max="6" width="10.7109375" customWidth="1"/>
    <col min="7" max="7" width="14.140625" customWidth="1"/>
    <col min="8" max="8" width="17.7109375" customWidth="1"/>
    <col min="9" max="9" width="26.42578125" bestFit="1" customWidth="1"/>
    <col min="11" max="11" width="8.5703125" bestFit="1" customWidth="1"/>
    <col min="12" max="12" width="13.85546875" bestFit="1" customWidth="1"/>
    <col min="13" max="13" width="14.140625" bestFit="1" customWidth="1"/>
    <col min="14" max="14" width="8.42578125" bestFit="1" customWidth="1"/>
  </cols>
  <sheetData>
    <row r="2" spans="2:22" x14ac:dyDescent="0.25">
      <c r="B2" s="4" t="s">
        <v>291</v>
      </c>
      <c r="F2" s="4" t="s">
        <v>292</v>
      </c>
    </row>
    <row r="3" spans="2:22" x14ac:dyDescent="0.25">
      <c r="B3" s="3" t="s">
        <v>0</v>
      </c>
      <c r="C3" s="3" t="s">
        <v>1</v>
      </c>
      <c r="D3" t="s">
        <v>251</v>
      </c>
      <c r="F3" s="3" t="s">
        <v>0</v>
      </c>
      <c r="G3" s="3" t="s">
        <v>1</v>
      </c>
      <c r="H3" t="s">
        <v>297</v>
      </c>
      <c r="I3" t="s">
        <v>298</v>
      </c>
    </row>
    <row r="4" spans="2:22" x14ac:dyDescent="0.25">
      <c r="B4" t="s">
        <v>11</v>
      </c>
      <c r="C4" t="s">
        <v>220</v>
      </c>
      <c r="D4" s="7">
        <v>18</v>
      </c>
      <c r="F4" t="s">
        <v>10</v>
      </c>
      <c r="G4" t="s">
        <v>219</v>
      </c>
      <c r="H4" s="8">
        <v>10</v>
      </c>
      <c r="I4" s="8">
        <v>12.68</v>
      </c>
      <c r="L4" s="9"/>
    </row>
    <row r="5" spans="2:22" x14ac:dyDescent="0.25">
      <c r="B5" t="s">
        <v>13</v>
      </c>
      <c r="C5" t="s">
        <v>222</v>
      </c>
      <c r="D5" s="7">
        <v>14</v>
      </c>
      <c r="F5" t="s">
        <v>11</v>
      </c>
      <c r="G5" t="s">
        <v>220</v>
      </c>
      <c r="H5" s="8">
        <v>10</v>
      </c>
      <c r="I5" s="8">
        <v>22.62</v>
      </c>
    </row>
    <row r="6" spans="2:22" x14ac:dyDescent="0.25">
      <c r="B6" t="s">
        <v>16</v>
      </c>
      <c r="C6" t="s">
        <v>223</v>
      </c>
      <c r="D6" s="7">
        <v>10</v>
      </c>
      <c r="F6" t="s">
        <v>12</v>
      </c>
      <c r="G6" t="s">
        <v>221</v>
      </c>
      <c r="H6" s="8">
        <v>8</v>
      </c>
      <c r="I6" s="8">
        <v>7.36</v>
      </c>
      <c r="T6" s="4" t="s">
        <v>295</v>
      </c>
      <c r="U6" s="4" t="s">
        <v>260</v>
      </c>
      <c r="V6" s="4" t="s">
        <v>301</v>
      </c>
    </row>
    <row r="7" spans="2:22" x14ac:dyDescent="0.25">
      <c r="B7" t="s">
        <v>51</v>
      </c>
      <c r="C7" t="s">
        <v>240</v>
      </c>
      <c r="D7" s="7">
        <v>10</v>
      </c>
      <c r="F7" t="s">
        <v>249</v>
      </c>
      <c r="H7" s="7">
        <v>28</v>
      </c>
      <c r="I7" s="7">
        <v>42.66</v>
      </c>
    </row>
    <row r="8" spans="2:22" x14ac:dyDescent="0.25">
      <c r="B8" t="s">
        <v>249</v>
      </c>
      <c r="D8" s="7">
        <v>52</v>
      </c>
    </row>
    <row r="13" spans="2:22" x14ac:dyDescent="0.25">
      <c r="B13" s="4" t="s">
        <v>294</v>
      </c>
      <c r="F13" s="4" t="s">
        <v>293</v>
      </c>
    </row>
    <row r="14" spans="2:22" x14ac:dyDescent="0.25">
      <c r="B14" s="3" t="s">
        <v>0</v>
      </c>
      <c r="C14" s="3" t="s">
        <v>1</v>
      </c>
      <c r="D14" t="s">
        <v>250</v>
      </c>
      <c r="F14" s="3" t="s">
        <v>0</v>
      </c>
      <c r="G14" s="3" t="s">
        <v>1</v>
      </c>
      <c r="H14" t="s">
        <v>296</v>
      </c>
      <c r="I14" t="s">
        <v>298</v>
      </c>
    </row>
    <row r="15" spans="2:22" x14ac:dyDescent="0.25">
      <c r="B15" t="s">
        <v>11</v>
      </c>
      <c r="C15" t="s">
        <v>220</v>
      </c>
      <c r="D15" s="7">
        <v>183.54</v>
      </c>
      <c r="F15" t="s">
        <v>51</v>
      </c>
      <c r="G15" t="s">
        <v>240</v>
      </c>
      <c r="H15" s="7">
        <v>50.46</v>
      </c>
      <c r="I15" s="7">
        <v>5.74</v>
      </c>
    </row>
    <row r="16" spans="2:22" x14ac:dyDescent="0.25">
      <c r="B16" t="s">
        <v>12</v>
      </c>
      <c r="C16" t="s">
        <v>221</v>
      </c>
      <c r="D16" s="7">
        <v>132.08000000000001</v>
      </c>
      <c r="F16" t="s">
        <v>54</v>
      </c>
      <c r="G16" t="s">
        <v>300</v>
      </c>
      <c r="H16" s="7">
        <v>50.25</v>
      </c>
      <c r="I16" s="7">
        <v>5.35</v>
      </c>
    </row>
    <row r="17" spans="2:9" x14ac:dyDescent="0.25">
      <c r="B17" t="s">
        <v>13</v>
      </c>
      <c r="C17" t="s">
        <v>222</v>
      </c>
      <c r="D17" s="7">
        <v>118.66</v>
      </c>
      <c r="F17" t="s">
        <v>90</v>
      </c>
      <c r="G17" t="s">
        <v>231</v>
      </c>
      <c r="H17" s="7">
        <v>50.77</v>
      </c>
      <c r="I17" s="7">
        <v>6.41</v>
      </c>
    </row>
    <row r="18" spans="2:9" x14ac:dyDescent="0.25">
      <c r="B18" t="s">
        <v>249</v>
      </c>
      <c r="D18" s="7">
        <v>434.28</v>
      </c>
      <c r="F18" t="s">
        <v>249</v>
      </c>
      <c r="H18" s="7">
        <v>151.48000000000002</v>
      </c>
      <c r="I18" s="7">
        <v>17.5</v>
      </c>
    </row>
  </sheetData>
  <conditionalFormatting pivot="1" sqref="D4:D7">
    <cfRule type="dataBar" priority="5">
      <dataBar>
        <cfvo type="min"/>
        <cfvo type="max"/>
        <color rgb="FF63C384"/>
      </dataBar>
      <extLst>
        <ext xmlns:x14="http://schemas.microsoft.com/office/spreadsheetml/2009/9/main" uri="{B025F937-C7B1-47D3-B67F-A62EFF666E3E}">
          <x14:id>{39105B1F-00B0-4D64-8C55-7619DACA6C8A}</x14:id>
        </ext>
      </extLst>
    </cfRule>
  </conditionalFormatting>
  <conditionalFormatting pivot="1" sqref="D15:D17">
    <cfRule type="dataBar" priority="4">
      <dataBar>
        <cfvo type="min"/>
        <cfvo type="max"/>
        <color rgb="FF63C384"/>
      </dataBar>
      <extLst>
        <ext xmlns:x14="http://schemas.microsoft.com/office/spreadsheetml/2009/9/main" uri="{B025F937-C7B1-47D3-B67F-A62EFF666E3E}">
          <x14:id>{01AAB896-5B3C-463F-B927-1A600C56ADBC}</x14:id>
        </ext>
      </extLst>
    </cfRule>
  </conditionalFormatting>
  <conditionalFormatting pivot="1" sqref="H4:H6">
    <cfRule type="colorScale" priority="3">
      <colorScale>
        <cfvo type="min"/>
        <cfvo type="percentile" val="50"/>
        <cfvo type="max"/>
        <color rgb="FF63BE7B"/>
        <color rgb="FFFFEB84"/>
        <color rgb="FFF8696B"/>
      </colorScale>
    </cfRule>
  </conditionalFormatting>
  <conditionalFormatting pivot="1" sqref="H15:H17">
    <cfRule type="colorScale" priority="2">
      <colorScale>
        <cfvo type="min"/>
        <cfvo type="percentile" val="50"/>
        <cfvo type="max"/>
        <color rgb="FFF8696B"/>
        <color rgb="FFFFEB84"/>
        <color rgb="FF63BE7B"/>
      </colorScale>
    </cfRule>
  </conditionalFormatting>
  <conditionalFormatting pivot="1">
    <cfRule type="colorScale" priority="1">
      <colorScale>
        <cfvo type="min"/>
        <cfvo type="percentile" val="50"/>
        <cfvo type="max"/>
        <color rgb="FFF8696B"/>
        <color rgb="FFFFEB84"/>
        <color rgb="FF63BE7B"/>
      </colorScale>
    </cfRule>
  </conditionalFormatting>
  <pageMargins left="0.7" right="0.7" top="0.75" bottom="0.75" header="0.3" footer="0.3"/>
  <drawing r:id="rId5"/>
  <legacyDrawing r:id="rId6"/>
  <controls>
    <mc:AlternateContent xmlns:mc="http://schemas.openxmlformats.org/markup-compatibility/2006">
      <mc:Choice Requires="x14">
        <control shapeId="4100" r:id="rId7" name="CbSelect_Recep">
          <controlPr defaultSize="0" autoLine="0" r:id="rId8">
            <anchor moveWithCells="1">
              <from>
                <xdr:col>11</xdr:col>
                <xdr:colOff>209550</xdr:colOff>
                <xdr:row>2</xdr:row>
                <xdr:rowOff>152400</xdr:rowOff>
              </from>
              <to>
                <xdr:col>13</xdr:col>
                <xdr:colOff>400050</xdr:colOff>
                <xdr:row>4</xdr:row>
                <xdr:rowOff>38100</xdr:rowOff>
              </to>
            </anchor>
          </controlPr>
        </control>
      </mc:Choice>
      <mc:Fallback>
        <control shapeId="4100" r:id="rId7" name="CbSelect_Recep"/>
      </mc:Fallback>
    </mc:AlternateContent>
  </controls>
  <extLst>
    <ext xmlns:x14="http://schemas.microsoft.com/office/spreadsheetml/2009/9/main" uri="{78C0D931-6437-407d-A8EE-F0AAD7539E65}">
      <x14:conditionalFormattings>
        <x14:conditionalFormatting xmlns:xm="http://schemas.microsoft.com/office/excel/2006/main" pivot="1">
          <x14:cfRule type="dataBar" id="{39105B1F-00B0-4D64-8C55-7619DACA6C8A}">
            <x14:dataBar minLength="0" maxLength="100" gradient="0">
              <x14:cfvo type="autoMin"/>
              <x14:cfvo type="autoMax"/>
              <x14:negativeFillColor rgb="FFFF0000"/>
              <x14:axisColor rgb="FF000000"/>
            </x14:dataBar>
          </x14:cfRule>
          <xm:sqref>D4:D7</xm:sqref>
        </x14:conditionalFormatting>
        <x14:conditionalFormatting xmlns:xm="http://schemas.microsoft.com/office/excel/2006/main" pivot="1">
          <x14:cfRule type="dataBar" id="{01AAB896-5B3C-463F-B927-1A600C56ADBC}">
            <x14:dataBar minLength="0" maxLength="100" gradient="0">
              <x14:cfvo type="autoMin"/>
              <x14:cfvo type="autoMax"/>
              <x14:negativeFillColor rgb="FFFF0000"/>
              <x14:axisColor rgb="FF000000"/>
            </x14:dataBar>
          </x14:cfRule>
          <xm:sqref>D15:D17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740D1DE-8759-4F27-8548-51A6FC8DE6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Agent mailing list</vt:lpstr>
      <vt:lpstr>Agent Performance</vt:lpstr>
      <vt:lpstr>Data_Mailer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Anootosh Sarkar</dc:creator>
  <cp:lastModifiedBy>Anootosh Sarkar</cp:lastModifiedBy>
  <dcterms:created xsi:type="dcterms:W3CDTF">2024-11-27T15:33:47Z</dcterms:created>
  <dcterms:modified xsi:type="dcterms:W3CDTF">2024-12-12T08:43:45Z</dcterms:modified>
</cp:coreProperties>
</file>